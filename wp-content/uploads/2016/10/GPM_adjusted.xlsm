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ropbox\BLOG\2016_10_03_GPM_adjusted\"/>
    </mc:Choice>
  </mc:AlternateContent>
  <bookViews>
    <workbookView xWindow="0" yWindow="0" windowWidth="28800" windowHeight="11910"/>
  </bookViews>
  <sheets>
    <sheet name="Skaičiuoklė" sheetId="1" r:id="rId1"/>
    <sheet name="SODRA" sheetId="3" r:id="rId2"/>
  </sheets>
  <definedNames>
    <definedName name="T_all_new">Skaičiuoklė!$U$31</definedName>
    <definedName name="T_all_old">Skaičiuoklė!$U$17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E10" i="1"/>
  <c r="E9" i="1" s="1"/>
  <c r="E23" i="1" s="1"/>
  <c r="F10" i="1"/>
  <c r="F9" i="1" s="1"/>
  <c r="F23" i="1" s="1"/>
  <c r="G10" i="1"/>
  <c r="G9" i="1" s="1"/>
  <c r="G23" i="1" s="1"/>
  <c r="H10" i="1"/>
  <c r="H9" i="1" s="1"/>
  <c r="H23" i="1" s="1"/>
  <c r="I10" i="1"/>
  <c r="I9" i="1" s="1"/>
  <c r="I23" i="1" s="1"/>
  <c r="J10" i="1"/>
  <c r="J9" i="1" s="1"/>
  <c r="J23" i="1" s="1"/>
  <c r="K10" i="1"/>
  <c r="K9" i="1" s="1"/>
  <c r="K23" i="1" s="1"/>
  <c r="L10" i="1"/>
  <c r="L9" i="1" s="1"/>
  <c r="L23" i="1" s="1"/>
  <c r="M10" i="1"/>
  <c r="M9" i="1" s="1"/>
  <c r="M23" i="1" s="1"/>
  <c r="N10" i="1"/>
  <c r="N9" i="1" s="1"/>
  <c r="N23" i="1" s="1"/>
  <c r="O10" i="1"/>
  <c r="O9" i="1" s="1"/>
  <c r="O23" i="1" s="1"/>
  <c r="P10" i="1"/>
  <c r="P9" i="1" s="1"/>
  <c r="P23" i="1" s="1"/>
  <c r="Q10" i="1"/>
  <c r="Q9" i="1" s="1"/>
  <c r="Q23" i="1" s="1"/>
  <c r="R10" i="1"/>
  <c r="R9" i="1" s="1"/>
  <c r="R23" i="1" s="1"/>
  <c r="S10" i="1"/>
  <c r="S9" i="1" s="1"/>
  <c r="S23" i="1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2" i="3"/>
  <c r="M24" i="1" l="1"/>
  <c r="M25" i="1" s="1"/>
  <c r="E24" i="1"/>
  <c r="E25" i="1" s="1"/>
  <c r="S24" i="1"/>
  <c r="S25" i="1" s="1"/>
  <c r="I24" i="1"/>
  <c r="I25" i="1" s="1"/>
  <c r="P24" i="1"/>
  <c r="P25" i="1" s="1"/>
  <c r="L24" i="1"/>
  <c r="L25" i="1" s="1"/>
  <c r="K24" i="1"/>
  <c r="K25" i="1" s="1"/>
  <c r="Q24" i="1"/>
  <c r="Q25" i="1" s="1"/>
  <c r="O24" i="1"/>
  <c r="O25" i="1" s="1"/>
  <c r="G24" i="1"/>
  <c r="G25" i="1" s="1"/>
  <c r="J24" i="1"/>
  <c r="J25" i="1" s="1"/>
  <c r="H24" i="1"/>
  <c r="H25" i="1" s="1"/>
  <c r="F24" i="1"/>
  <c r="F25" i="1" s="1"/>
  <c r="R24" i="1"/>
  <c r="R25" i="1" s="1"/>
  <c r="N24" i="1"/>
  <c r="N25" i="1" s="1"/>
  <c r="T8" i="1"/>
  <c r="C12" i="1"/>
  <c r="D12" i="1" s="1"/>
  <c r="C26" i="1"/>
  <c r="L26" i="1" l="1"/>
  <c r="L27" i="1" s="1"/>
  <c r="L28" i="1" s="1"/>
  <c r="Q26" i="1"/>
  <c r="Q27" i="1" s="1"/>
  <c r="Q28" i="1" s="1"/>
  <c r="E26" i="1"/>
  <c r="E27" i="1" s="1"/>
  <c r="E28" i="1" s="1"/>
  <c r="M26" i="1"/>
  <c r="M27" i="1" s="1"/>
  <c r="M28" i="1" s="1"/>
  <c r="I26" i="1"/>
  <c r="I27" i="1" s="1"/>
  <c r="I28" i="1" s="1"/>
  <c r="S26" i="1"/>
  <c r="S27" i="1" s="1"/>
  <c r="S28" i="1" s="1"/>
  <c r="F26" i="1"/>
  <c r="F27" i="1" s="1"/>
  <c r="F28" i="1" s="1"/>
  <c r="N26" i="1"/>
  <c r="N27" i="1" s="1"/>
  <c r="N28" i="1" s="1"/>
  <c r="P26" i="1"/>
  <c r="P27" i="1" s="1"/>
  <c r="P28" i="1" s="1"/>
  <c r="K26" i="1"/>
  <c r="K27" i="1" s="1"/>
  <c r="K28" i="1" s="1"/>
  <c r="G26" i="1"/>
  <c r="G27" i="1" s="1"/>
  <c r="G28" i="1" s="1"/>
  <c r="O26" i="1"/>
  <c r="O27" i="1" s="1"/>
  <c r="O28" i="1" s="1"/>
  <c r="H26" i="1"/>
  <c r="H27" i="1" s="1"/>
  <c r="H28" i="1" s="1"/>
  <c r="R26" i="1"/>
  <c r="R27" i="1" s="1"/>
  <c r="R28" i="1" s="1"/>
  <c r="J26" i="1"/>
  <c r="J27" i="1" s="1"/>
  <c r="J28" i="1" s="1"/>
  <c r="M30" i="1"/>
  <c r="M29" i="1"/>
  <c r="L30" i="1"/>
  <c r="L29" i="1"/>
  <c r="P29" i="1"/>
  <c r="P30" i="1"/>
  <c r="O30" i="1"/>
  <c r="O29" i="1"/>
  <c r="I29" i="1"/>
  <c r="I30" i="1"/>
  <c r="Q29" i="1"/>
  <c r="Q30" i="1"/>
  <c r="E30" i="1"/>
  <c r="E29" i="1"/>
  <c r="H29" i="1"/>
  <c r="H30" i="1"/>
  <c r="N30" i="1"/>
  <c r="N29" i="1"/>
  <c r="J30" i="1"/>
  <c r="J29" i="1"/>
  <c r="S29" i="1"/>
  <c r="S30" i="1"/>
  <c r="R29" i="1"/>
  <c r="R30" i="1"/>
  <c r="G29" i="1"/>
  <c r="G30" i="1"/>
  <c r="K30" i="1"/>
  <c r="K29" i="1"/>
  <c r="I12" i="1"/>
  <c r="Q12" i="1"/>
  <c r="J12" i="1"/>
  <c r="R12" i="1"/>
  <c r="P12" i="1"/>
  <c r="K12" i="1"/>
  <c r="S12" i="1"/>
  <c r="L12" i="1"/>
  <c r="E12" i="1"/>
  <c r="M12" i="1"/>
  <c r="F12" i="1"/>
  <c r="N12" i="1"/>
  <c r="H12" i="1"/>
  <c r="G12" i="1"/>
  <c r="O12" i="1"/>
  <c r="F30" i="1"/>
  <c r="F29" i="1"/>
  <c r="D13" i="1"/>
  <c r="T22" i="1"/>
  <c r="D16" i="1"/>
  <c r="D15" i="1"/>
  <c r="D10" i="1"/>
  <c r="D9" i="1" s="1"/>
  <c r="D23" i="1" s="1"/>
  <c r="H31" i="1" l="1"/>
  <c r="H32" i="1" s="1"/>
  <c r="N13" i="1"/>
  <c r="N14" i="1" s="1"/>
  <c r="R13" i="1"/>
  <c r="R14" i="1" s="1"/>
  <c r="F13" i="1"/>
  <c r="F14" i="1" s="1"/>
  <c r="J13" i="1"/>
  <c r="J14" i="1" s="1"/>
  <c r="J19" i="1" s="1"/>
  <c r="P13" i="1"/>
  <c r="P14" i="1" s="1"/>
  <c r="M13" i="1"/>
  <c r="M14" i="1" s="1"/>
  <c r="Q13" i="1"/>
  <c r="Q14" i="1" s="1"/>
  <c r="E13" i="1"/>
  <c r="E14" i="1" s="1"/>
  <c r="E19" i="1" s="1"/>
  <c r="I13" i="1"/>
  <c r="I14" i="1" s="1"/>
  <c r="L13" i="1"/>
  <c r="L14" i="1" s="1"/>
  <c r="O13" i="1"/>
  <c r="O14" i="1" s="1"/>
  <c r="H13" i="1"/>
  <c r="H14" i="1" s="1"/>
  <c r="H19" i="1" s="1"/>
  <c r="G13" i="1"/>
  <c r="G14" i="1" s="1"/>
  <c r="K13" i="1"/>
  <c r="K14" i="1" s="1"/>
  <c r="P33" i="1"/>
  <c r="H33" i="1"/>
  <c r="S13" i="1"/>
  <c r="S14" i="1" s="1"/>
  <c r="S19" i="1" s="1"/>
  <c r="M31" i="1"/>
  <c r="M32" i="1" s="1"/>
  <c r="M33" i="1"/>
  <c r="K31" i="1"/>
  <c r="K32" i="1" s="1"/>
  <c r="K33" i="1"/>
  <c r="L33" i="1"/>
  <c r="L31" i="1"/>
  <c r="L32" i="1" s="1"/>
  <c r="D24" i="1"/>
  <c r="D25" i="1" s="1"/>
  <c r="D26" i="1" s="1"/>
  <c r="E31" i="1"/>
  <c r="E32" i="1" s="1"/>
  <c r="E33" i="1"/>
  <c r="P31" i="1"/>
  <c r="P32" i="1" s="1"/>
  <c r="Q33" i="1"/>
  <c r="Q31" i="1"/>
  <c r="Q32" i="1" s="1"/>
  <c r="G33" i="1"/>
  <c r="G31" i="1"/>
  <c r="G32" i="1" s="1"/>
  <c r="O31" i="1"/>
  <c r="O32" i="1" s="1"/>
  <c r="O33" i="1"/>
  <c r="N31" i="1"/>
  <c r="N32" i="1" s="1"/>
  <c r="N33" i="1"/>
  <c r="S33" i="1"/>
  <c r="S31" i="1"/>
  <c r="S32" i="1" s="1"/>
  <c r="J33" i="1"/>
  <c r="J31" i="1"/>
  <c r="J32" i="1" s="1"/>
  <c r="R33" i="1"/>
  <c r="R31" i="1"/>
  <c r="R32" i="1" s="1"/>
  <c r="I31" i="1"/>
  <c r="I32" i="1" s="1"/>
  <c r="I33" i="1"/>
  <c r="F31" i="1"/>
  <c r="F32" i="1" s="1"/>
  <c r="F33" i="1"/>
  <c r="T16" i="1"/>
  <c r="U16" i="1" s="1"/>
  <c r="V16" i="1" s="1"/>
  <c r="T10" i="1"/>
  <c r="U10" i="1" s="1"/>
  <c r="V10" i="1" s="1"/>
  <c r="D14" i="1"/>
  <c r="D19" i="1" s="1"/>
  <c r="T15" i="1"/>
  <c r="U15" i="1" s="1"/>
  <c r="V15" i="1" s="1"/>
  <c r="J17" i="1" l="1"/>
  <c r="J18" i="1" s="1"/>
  <c r="P19" i="1"/>
  <c r="P17" i="1"/>
  <c r="P18" i="1" s="1"/>
  <c r="Q17" i="1"/>
  <c r="Q18" i="1" s="1"/>
  <c r="Q19" i="1"/>
  <c r="O19" i="1"/>
  <c r="O17" i="1"/>
  <c r="O18" i="1" s="1"/>
  <c r="F17" i="1"/>
  <c r="F18" i="1" s="1"/>
  <c r="F19" i="1"/>
  <c r="G17" i="1"/>
  <c r="G18" i="1" s="1"/>
  <c r="G19" i="1"/>
  <c r="I19" i="1"/>
  <c r="I17" i="1"/>
  <c r="I18" i="1" s="1"/>
  <c r="R17" i="1"/>
  <c r="R18" i="1" s="1"/>
  <c r="R19" i="1"/>
  <c r="M19" i="1"/>
  <c r="M17" i="1"/>
  <c r="M18" i="1" s="1"/>
  <c r="L19" i="1"/>
  <c r="L17" i="1"/>
  <c r="L18" i="1" s="1"/>
  <c r="K17" i="1"/>
  <c r="K18" i="1" s="1"/>
  <c r="K19" i="1"/>
  <c r="N17" i="1"/>
  <c r="N18" i="1" s="1"/>
  <c r="N19" i="1"/>
  <c r="E17" i="1"/>
  <c r="E18" i="1" s="1"/>
  <c r="H17" i="1"/>
  <c r="H18" i="1" s="1"/>
  <c r="S17" i="1"/>
  <c r="S18" i="1" s="1"/>
  <c r="T24" i="1"/>
  <c r="U24" i="1" s="1"/>
  <c r="V24" i="1" s="1"/>
  <c r="T14" i="1"/>
  <c r="U14" i="1" s="1"/>
  <c r="V14" i="1" s="1"/>
  <c r="D17" i="1"/>
  <c r="T17" i="1" l="1"/>
  <c r="U17" i="1" s="1"/>
  <c r="V17" i="1" s="1"/>
  <c r="D18" i="1"/>
  <c r="D29" i="1" l="1"/>
  <c r="D27" i="1"/>
  <c r="D28" i="1" s="1"/>
  <c r="T28" i="1" s="1"/>
  <c r="D30" i="1"/>
  <c r="T29" i="1" l="1"/>
  <c r="U29" i="1" s="1"/>
  <c r="V29" i="1" s="1"/>
  <c r="T30" i="1"/>
  <c r="U30" i="1" s="1"/>
  <c r="V30" i="1" s="1"/>
  <c r="D33" i="1"/>
  <c r="D31" i="1"/>
  <c r="U28" i="1"/>
  <c r="V28" i="1" s="1"/>
  <c r="D32" i="1" l="1"/>
  <c r="T31" i="1"/>
  <c r="U31" i="1" s="1"/>
  <c r="V31" i="1" s="1"/>
</calcChain>
</file>

<file path=xl/comments1.xml><?xml version="1.0" encoding="utf-8"?>
<comments xmlns="http://schemas.openxmlformats.org/spreadsheetml/2006/main">
  <authors>
    <author>Justas Mundeikis</author>
  </authors>
  <commentList>
    <comment ref="A6" authorId="0" shapeId="0">
      <text>
        <r>
          <rPr>
            <b/>
            <sz val="9"/>
            <color indexed="81"/>
            <rFont val="Tahoma"/>
            <charset val="1"/>
          </rPr>
          <t>Justas Mundeikis:</t>
        </r>
        <r>
          <rPr>
            <sz val="9"/>
            <color indexed="81"/>
            <rFont val="Tahoma"/>
            <charset val="1"/>
          </rPr>
          <t xml:space="preserve">
Atlika su goal seeker, remiantis finmin 201 planu, GPM turėtų siekti 1476. Sodros paskutinė pajamų grupė: "virš 5000" neatspindi grupės vidurkio. Tad adaptuojama naudojant goal seeker taip, kad surinktinas GPM atiitktų FINMIN rodiklį.</t>
        </r>
      </text>
    </comment>
  </commentList>
</comments>
</file>

<file path=xl/sharedStrings.xml><?xml version="1.0" encoding="utf-8"?>
<sst xmlns="http://schemas.openxmlformats.org/spreadsheetml/2006/main" count="78" uniqueCount="63">
  <si>
    <t>Dirbančiųjų skaičius</t>
  </si>
  <si>
    <t>Darbo vietos kaina</t>
  </si>
  <si>
    <t>"Darbdavio" Sodra</t>
  </si>
  <si>
    <t>Alga "ant popieriaus"</t>
  </si>
  <si>
    <t xml:space="preserve">Neapmokestinamas pajamu dydis </t>
  </si>
  <si>
    <t xml:space="preserve">Apmokestinamas pajamu dydis </t>
  </si>
  <si>
    <t>GPM</t>
  </si>
  <si>
    <t>Sveikatos draudimo mokestis</t>
  </si>
  <si>
    <t>"Darbuotojo" Sodra</t>
  </si>
  <si>
    <t>Visi mokesciai</t>
  </si>
  <si>
    <t>Visi mokesciai/Y</t>
  </si>
  <si>
    <t>LC</t>
  </si>
  <si>
    <t>T_sse</t>
  </si>
  <si>
    <t>W</t>
  </si>
  <si>
    <t>NPD</t>
  </si>
  <si>
    <t>W-NPD</t>
  </si>
  <si>
    <t>T_w</t>
  </si>
  <si>
    <t>T_health</t>
  </si>
  <si>
    <t>T_ss</t>
  </si>
  <si>
    <t>T_all</t>
  </si>
  <si>
    <t>T_all/Y</t>
  </si>
  <si>
    <t>MinW</t>
  </si>
  <si>
    <t>MMA nuo kurio skaičiuojamas NPD</t>
  </si>
  <si>
    <t>Prielaidos:</t>
  </si>
  <si>
    <t>NPD:</t>
  </si>
  <si>
    <t>- senas</t>
  </si>
  <si>
    <t>- naujas</t>
  </si>
  <si>
    <t>Neto atlyginimas</t>
  </si>
  <si>
    <t>Y_net</t>
  </si>
  <si>
    <t>Mėnesio pajamos</t>
  </si>
  <si>
    <t>Sum of Apdraustųjų skaičius</t>
  </si>
  <si>
    <t>iki 380 € (MMA)</t>
  </si>
  <si>
    <t>381-400 €</t>
  </si>
  <si>
    <t>401-450 €</t>
  </si>
  <si>
    <t>451-500 €</t>
  </si>
  <si>
    <t>501-600 €</t>
  </si>
  <si>
    <t>601-700 €</t>
  </si>
  <si>
    <t>701-800 €</t>
  </si>
  <si>
    <t>801-900 €</t>
  </si>
  <si>
    <t>901-1000 €</t>
  </si>
  <si>
    <t>1001-1300 €</t>
  </si>
  <si>
    <t>1301-1600 €</t>
  </si>
  <si>
    <t>1601-2000 €</t>
  </si>
  <si>
    <t>2001-3000 €</t>
  </si>
  <si>
    <t>3001-4000 €</t>
  </si>
  <si>
    <t>4001-5000 €</t>
  </si>
  <si>
    <t>virš 5001 €</t>
  </si>
  <si>
    <t>Finmin</t>
  </si>
  <si>
    <t>GPM planas 2016</t>
  </si>
  <si>
    <t>T_sse_new</t>
  </si>
  <si>
    <t>NPD_new</t>
  </si>
  <si>
    <t>T_w_new</t>
  </si>
  <si>
    <t>T_health_new</t>
  </si>
  <si>
    <t>T_ss_new</t>
  </si>
  <si>
    <t>T_all_new</t>
  </si>
  <si>
    <t>T_all_new/Y</t>
  </si>
  <si>
    <t>Y_new_net</t>
  </si>
  <si>
    <t>LC_old</t>
  </si>
  <si>
    <t>W_new</t>
  </si>
  <si>
    <t>"U14"="F1", keičiant "S8"</t>
  </si>
  <si>
    <t>n (mln.)</t>
  </si>
  <si>
    <t>Macro: sulygina T_w_new tarifą taip, jog T_all=T_all_new</t>
  </si>
  <si>
    <t>2016m: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</si>
</sst>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00"/>
  </numFmts>
  <fonts count="6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u/>
      <sz val="11"/>
      <color theme="10"/>
      <name val="Calibri"/>
      <family val="2"/>
      <charset val="186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1" applyNumberFormat="1" applyFont="1"/>
    <xf numFmtId="0" fontId="0" fillId="0" borderId="1" xfId="0" applyBorder="1"/>
    <xf numFmtId="1" fontId="0" fillId="0" borderId="1" xfId="0" applyNumberFormat="1" applyBorder="1"/>
    <xf numFmtId="9" fontId="0" fillId="0" borderId="1" xfId="1" applyFont="1" applyBorder="1"/>
    <xf numFmtId="0" fontId="0" fillId="0" borderId="1" xfId="0" quotePrefix="1" applyBorder="1"/>
    <xf numFmtId="0" fontId="2" fillId="0" borderId="1" xfId="0" applyFont="1" applyBorder="1"/>
    <xf numFmtId="0" fontId="0" fillId="0" borderId="0" xfId="0" applyFill="1" applyBorder="1"/>
    <xf numFmtId="0" fontId="0" fillId="0" borderId="1" xfId="0" applyFill="1" applyBorder="1"/>
    <xf numFmtId="164" fontId="0" fillId="0" borderId="1" xfId="1" applyNumberFormat="1" applyFont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0" fillId="0" borderId="0" xfId="0" applyNumberFormat="1"/>
    <xf numFmtId="165" fontId="0" fillId="3" borderId="1" xfId="0" applyNumberFormat="1" applyFill="1" applyBorder="1"/>
    <xf numFmtId="0" fontId="3" fillId="0" borderId="0" xfId="2"/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4" borderId="1" xfId="0" quotePrefix="1" applyFill="1" applyBorder="1"/>
    <xf numFmtId="0" fontId="0" fillId="5" borderId="1" xfId="0" applyFill="1" applyBorder="1"/>
    <xf numFmtId="0" fontId="0" fillId="5" borderId="1" xfId="0" quotePrefix="1" applyFill="1" applyBorder="1"/>
    <xf numFmtId="0" fontId="0" fillId="7" borderId="0" xfId="0" applyFill="1"/>
    <xf numFmtId="0" fontId="3" fillId="7" borderId="0" xfId="2" applyFill="1"/>
    <xf numFmtId="1" fontId="0" fillId="4" borderId="1" xfId="0" applyNumberFormat="1" applyFill="1" applyBorder="1"/>
    <xf numFmtId="1" fontId="0" fillId="5" borderId="1" xfId="0" applyNumberFormat="1" applyFill="1" applyBorder="1"/>
    <xf numFmtId="9" fontId="0" fillId="6" borderId="1" xfId="1" applyFont="1" applyFill="1" applyBorder="1"/>
    <xf numFmtId="0" fontId="0" fillId="8" borderId="1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Mokestin</a:t>
            </a:r>
            <a:r>
              <a:rPr lang="lt-LT"/>
              <a:t>ė</a:t>
            </a:r>
            <a:r>
              <a:rPr lang="lt-LT" baseline="0"/>
              <a:t> našta, % darbo vietos kainos</a:t>
            </a:r>
            <a:endParaRPr lang="lt-L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lt-L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Skaičiuoklė!$B$18</c:f>
              <c:strCache>
                <c:ptCount val="1"/>
                <c:pt idx="0">
                  <c:v>T_all/Y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Skaičiuoklė!$D$23:$S$23</c:f>
              <c:numCache>
                <c:formatCode>0</c:formatCode>
                <c:ptCount val="16"/>
                <c:pt idx="0">
                  <c:v>497.8</c:v>
                </c:pt>
                <c:pt idx="1">
                  <c:v>511.55500000000001</c:v>
                </c:pt>
                <c:pt idx="2">
                  <c:v>557.40499999999997</c:v>
                </c:pt>
                <c:pt idx="3">
                  <c:v>622.90499999999997</c:v>
                </c:pt>
                <c:pt idx="4">
                  <c:v>721.15499999999997</c:v>
                </c:pt>
                <c:pt idx="5">
                  <c:v>852.15499999999997</c:v>
                </c:pt>
                <c:pt idx="6">
                  <c:v>983.15499999999997</c:v>
                </c:pt>
                <c:pt idx="7">
                  <c:v>1114.155</c:v>
                </c:pt>
                <c:pt idx="8">
                  <c:v>1245.155</c:v>
                </c:pt>
                <c:pt idx="9">
                  <c:v>1507.155</c:v>
                </c:pt>
                <c:pt idx="10">
                  <c:v>1900.155</c:v>
                </c:pt>
                <c:pt idx="11">
                  <c:v>2358.6549999999997</c:v>
                </c:pt>
                <c:pt idx="12">
                  <c:v>3275.6549999999997</c:v>
                </c:pt>
                <c:pt idx="13">
                  <c:v>4585.6549999999997</c:v>
                </c:pt>
                <c:pt idx="14">
                  <c:v>5895.6549999999997</c:v>
                </c:pt>
                <c:pt idx="15">
                  <c:v>46374</c:v>
                </c:pt>
              </c:numCache>
            </c:numRef>
          </c:cat>
          <c:val>
            <c:numRef>
              <c:f>Skaičiuoklė!$D$18:$S$18</c:f>
              <c:numCache>
                <c:formatCode>0%</c:formatCode>
                <c:ptCount val="16"/>
                <c:pt idx="0">
                  <c:v>0.35958216151064681</c:v>
                </c:pt>
                <c:pt idx="1">
                  <c:v>0.36224941599632493</c:v>
                </c:pt>
                <c:pt idx="2">
                  <c:v>0.37018953902458718</c:v>
                </c:pt>
                <c:pt idx="3">
                  <c:v>0.37950490042622875</c:v>
                </c:pt>
                <c:pt idx="4">
                  <c:v>0.3903051355117832</c:v>
                </c:pt>
                <c:pt idx="5">
                  <c:v>0.40083142151369183</c:v>
                </c:pt>
                <c:pt idx="6">
                  <c:v>0.40855256800809636</c:v>
                </c:pt>
                <c:pt idx="7">
                  <c:v>0.41445804219341115</c:v>
                </c:pt>
                <c:pt idx="8">
                  <c:v>0.41912091265746032</c:v>
                </c:pt>
                <c:pt idx="9">
                  <c:v>0.41984732824427479</c:v>
                </c:pt>
                <c:pt idx="10">
                  <c:v>0.41984732824427479</c:v>
                </c:pt>
                <c:pt idx="11">
                  <c:v>0.41984732824427484</c:v>
                </c:pt>
                <c:pt idx="12">
                  <c:v>0.41984732824427484</c:v>
                </c:pt>
                <c:pt idx="13">
                  <c:v>0.41984732824427479</c:v>
                </c:pt>
                <c:pt idx="14">
                  <c:v>0.41984732824427479</c:v>
                </c:pt>
                <c:pt idx="15">
                  <c:v>0.41984732824427479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3-42E6-B935-6C900FE0178A}"/>
            </c:ext>
          </c:extLst>
        </c:ser>
        <c:ser>
          <c:idx val="1"/>
          <c:order val="1"/>
          <c:tx>
            <c:strRef>
              <c:f>Skaičiuoklė!$B$32</c:f>
              <c:strCache>
                <c:ptCount val="1"/>
                <c:pt idx="0">
                  <c:v>T_all_new/Y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Skaičiuoklė!$D$23:$S$23</c:f>
              <c:numCache>
                <c:formatCode>0</c:formatCode>
                <c:ptCount val="16"/>
                <c:pt idx="0">
                  <c:v>497.8</c:v>
                </c:pt>
                <c:pt idx="1">
                  <c:v>511.55500000000001</c:v>
                </c:pt>
                <c:pt idx="2">
                  <c:v>557.40499999999997</c:v>
                </c:pt>
                <c:pt idx="3">
                  <c:v>622.90499999999997</c:v>
                </c:pt>
                <c:pt idx="4">
                  <c:v>721.15499999999997</c:v>
                </c:pt>
                <c:pt idx="5">
                  <c:v>852.15499999999997</c:v>
                </c:pt>
                <c:pt idx="6">
                  <c:v>983.15499999999997</c:v>
                </c:pt>
                <c:pt idx="7">
                  <c:v>1114.155</c:v>
                </c:pt>
                <c:pt idx="8">
                  <c:v>1245.155</c:v>
                </c:pt>
                <c:pt idx="9">
                  <c:v>1507.155</c:v>
                </c:pt>
                <c:pt idx="10">
                  <c:v>1900.155</c:v>
                </c:pt>
                <c:pt idx="11">
                  <c:v>2358.6549999999997</c:v>
                </c:pt>
                <c:pt idx="12">
                  <c:v>3275.6549999999997</c:v>
                </c:pt>
                <c:pt idx="13">
                  <c:v>4585.6549999999997</c:v>
                </c:pt>
                <c:pt idx="14">
                  <c:v>5895.6549999999997</c:v>
                </c:pt>
                <c:pt idx="15">
                  <c:v>46374</c:v>
                </c:pt>
              </c:numCache>
            </c:numRef>
          </c:cat>
          <c:val>
            <c:numRef>
              <c:f>Skaičiuoklė!$D$32:$S$32</c:f>
              <c:numCache>
                <c:formatCode>0%</c:formatCode>
                <c:ptCount val="16"/>
                <c:pt idx="0">
                  <c:v>0.15844246997677194</c:v>
                </c:pt>
                <c:pt idx="1">
                  <c:v>0.17218536316380348</c:v>
                </c:pt>
                <c:pt idx="2">
                  <c:v>0.21309644354822954</c:v>
                </c:pt>
                <c:pt idx="3">
                  <c:v>0.26109336976159409</c:v>
                </c:pt>
                <c:pt idx="4">
                  <c:v>0.31674103216973204</c:v>
                </c:pt>
                <c:pt idx="5">
                  <c:v>0.37097718584653361</c:v>
                </c:pt>
                <c:pt idx="6">
                  <c:v>0.41076000076869124</c:v>
                </c:pt>
                <c:pt idx="7">
                  <c:v>0.44118765639110574</c:v>
                </c:pt>
                <c:pt idx="8">
                  <c:v>0.46521285948907742</c:v>
                </c:pt>
                <c:pt idx="9">
                  <c:v>0.49966209838606451</c:v>
                </c:pt>
                <c:pt idx="10">
                  <c:v>0.49966209838606451</c:v>
                </c:pt>
                <c:pt idx="11">
                  <c:v>0.49966209838606451</c:v>
                </c:pt>
                <c:pt idx="12">
                  <c:v>0.49966209838606457</c:v>
                </c:pt>
                <c:pt idx="13">
                  <c:v>0.49966209838606446</c:v>
                </c:pt>
                <c:pt idx="14">
                  <c:v>0.49966209838606457</c:v>
                </c:pt>
                <c:pt idx="15">
                  <c:v>0.49966209838606457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3-42E6-B935-6C900FE01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764015"/>
        <c:axId val="798763599"/>
      </c:lineChart>
      <c:catAx>
        <c:axId val="798764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lt-LT"/>
          </a:p>
        </c:txPr>
        <c:crossAx val="798763599"/>
        <c:crosses val="autoZero"/>
        <c:auto val="1"/>
        <c:lblAlgn val="ctr"/>
        <c:lblOffset val="100"/>
        <c:noMultiLvlLbl val="0"/>
      </c:catAx>
      <c:valAx>
        <c:axId val="79876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lt-LT"/>
          </a:p>
        </c:txPr>
        <c:crossAx val="79876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lt-L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tx1"/>
          </a:solidFill>
        </a:defRPr>
      </a:pPr>
      <a:endParaRPr lang="lt-L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35</xdr:row>
      <xdr:rowOff>95250</xdr:rowOff>
    </xdr:from>
    <xdr:to>
      <xdr:col>0</xdr:col>
      <xdr:colOff>1285875</xdr:colOff>
      <xdr:row>37</xdr:row>
      <xdr:rowOff>171450</xdr:rowOff>
    </xdr:to>
    <xdr:sp macro="[0]!Macro1" textlink="">
      <xdr:nvSpPr>
        <xdr:cNvPr id="2" name="Oval 1"/>
        <xdr:cNvSpPr/>
      </xdr:nvSpPr>
      <xdr:spPr>
        <a:xfrm>
          <a:off x="66675" y="6572250"/>
          <a:ext cx="1219200" cy="457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lt-LT" sz="1100"/>
            <a:t>Run macro</a:t>
          </a:r>
        </a:p>
      </xdr:txBody>
    </xdr:sp>
    <xdr:clientData/>
  </xdr:twoCellAnchor>
  <xdr:twoCellAnchor>
    <xdr:from>
      <xdr:col>0</xdr:col>
      <xdr:colOff>2113109</xdr:colOff>
      <xdr:row>35</xdr:row>
      <xdr:rowOff>108375</xdr:rowOff>
    </xdr:from>
    <xdr:to>
      <xdr:col>17</xdr:col>
      <xdr:colOff>259335</xdr:colOff>
      <xdr:row>70</xdr:row>
      <xdr:rowOff>132870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finmin.lrv.lt/lt/aktualus-valstybes-finansu-duomenys/ekonomines-raidos-scenarijus" TargetMode="External"/><Relationship Id="rId1" Type="http://schemas.openxmlformats.org/officeDocument/2006/relationships/hyperlink" Target="https://finmin.lrv.lt/uploads/finmin/documents/files/2016_6_men_LT.pdf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5"/>
  <sheetViews>
    <sheetView tabSelected="1" topLeftCell="A4" zoomScale="85" zoomScaleNormal="85" workbookViewId="0">
      <selection activeCell="X15" sqref="X15"/>
    </sheetView>
  </sheetViews>
  <sheetFormatPr defaultRowHeight="15" x14ac:dyDescent="0.25"/>
  <cols>
    <col min="1" max="1" width="28" bestFit="1" customWidth="1"/>
    <col min="2" max="2" width="12" customWidth="1"/>
    <col min="5" max="5" width="9.625" customWidth="1"/>
    <col min="6" max="6" width="8.875" bestFit="1" customWidth="1"/>
  </cols>
  <sheetData>
    <row r="1" spans="1:22" x14ac:dyDescent="0.25">
      <c r="A1" s="17" t="s">
        <v>23</v>
      </c>
      <c r="B1" s="17"/>
      <c r="D1" s="22" t="s">
        <v>47</v>
      </c>
      <c r="E1" s="23" t="s">
        <v>48</v>
      </c>
      <c r="F1" s="22">
        <v>1476.5630000000001</v>
      </c>
    </row>
    <row r="2" spans="1:22" x14ac:dyDescent="0.25">
      <c r="A2" s="27" t="s">
        <v>22</v>
      </c>
      <c r="B2" s="27">
        <v>380</v>
      </c>
    </row>
    <row r="3" spans="1:22" x14ac:dyDescent="0.25">
      <c r="A3" s="4" t="s">
        <v>24</v>
      </c>
      <c r="B3" s="4"/>
    </row>
    <row r="4" spans="1:22" x14ac:dyDescent="0.25">
      <c r="A4" s="19" t="s">
        <v>25</v>
      </c>
      <c r="B4" s="18">
        <v>200</v>
      </c>
    </row>
    <row r="5" spans="1:22" x14ac:dyDescent="0.25">
      <c r="A5" s="21" t="s">
        <v>26</v>
      </c>
      <c r="B5" s="20">
        <v>380</v>
      </c>
    </row>
    <row r="6" spans="1:22" x14ac:dyDescent="0.25">
      <c r="A6" s="22" t="s">
        <v>59</v>
      </c>
      <c r="V6" t="s">
        <v>62</v>
      </c>
    </row>
    <row r="7" spans="1:22" x14ac:dyDescent="0.25">
      <c r="D7" s="1" t="s">
        <v>21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V7" s="16">
        <v>38262.1</v>
      </c>
    </row>
    <row r="8" spans="1:22" x14ac:dyDescent="0.25">
      <c r="A8" s="4" t="s">
        <v>0</v>
      </c>
      <c r="B8" s="4" t="s">
        <v>60</v>
      </c>
      <c r="C8" s="4"/>
      <c r="D8" s="15">
        <v>0.26935000000000003</v>
      </c>
      <c r="E8" s="15">
        <v>3.6060000000000002E-2</v>
      </c>
      <c r="F8" s="15">
        <v>6.9370000000000001E-2</v>
      </c>
      <c r="G8" s="15">
        <v>8.4500000000000006E-2</v>
      </c>
      <c r="H8" s="15">
        <v>0.12222</v>
      </c>
      <c r="I8" s="15">
        <v>9.9449999999999997E-2</v>
      </c>
      <c r="J8" s="15">
        <v>8.6779999999999996E-2</v>
      </c>
      <c r="K8" s="15">
        <v>6.7049999999999998E-2</v>
      </c>
      <c r="L8" s="15">
        <v>5.5350000000000003E-2</v>
      </c>
      <c r="M8" s="15">
        <v>9.6170000000000005E-2</v>
      </c>
      <c r="N8" s="15">
        <v>4.7810000000000005E-2</v>
      </c>
      <c r="O8" s="15">
        <v>2.9870000000000001E-2</v>
      </c>
      <c r="P8" s="15">
        <v>2.5829999999999999E-2</v>
      </c>
      <c r="Q8" s="15">
        <v>7.3200000000000001E-3</v>
      </c>
      <c r="R8" s="15">
        <v>2.7000000000000001E-3</v>
      </c>
      <c r="S8" s="15">
        <v>3.0499999999999998E-3</v>
      </c>
      <c r="T8">
        <f>SUM(D8:S8)</f>
        <v>1.1028800000000001</v>
      </c>
      <c r="V8" s="3"/>
    </row>
    <row r="9" spans="1:22" x14ac:dyDescent="0.25">
      <c r="A9" s="4" t="s">
        <v>1</v>
      </c>
      <c r="B9" s="4" t="s">
        <v>11</v>
      </c>
      <c r="C9" s="4"/>
      <c r="D9" s="5">
        <f>SUM(D10:D11)</f>
        <v>497.8</v>
      </c>
      <c r="E9" s="5">
        <f t="shared" ref="E9:S9" si="0">SUM(E10:E11)</f>
        <v>511.55500000000001</v>
      </c>
      <c r="F9" s="5">
        <f t="shared" si="0"/>
        <v>557.40499999999997</v>
      </c>
      <c r="G9" s="5">
        <f t="shared" si="0"/>
        <v>622.90499999999997</v>
      </c>
      <c r="H9" s="5">
        <f t="shared" si="0"/>
        <v>721.15499999999997</v>
      </c>
      <c r="I9" s="5">
        <f t="shared" si="0"/>
        <v>852.15499999999997</v>
      </c>
      <c r="J9" s="5">
        <f t="shared" si="0"/>
        <v>983.15499999999997</v>
      </c>
      <c r="K9" s="5">
        <f t="shared" si="0"/>
        <v>1114.155</v>
      </c>
      <c r="L9" s="5">
        <f t="shared" si="0"/>
        <v>1245.155</v>
      </c>
      <c r="M9" s="5">
        <f t="shared" si="0"/>
        <v>1507.155</v>
      </c>
      <c r="N9" s="5">
        <f t="shared" si="0"/>
        <v>1900.155</v>
      </c>
      <c r="O9" s="5">
        <f t="shared" si="0"/>
        <v>2358.6549999999997</v>
      </c>
      <c r="P9" s="5">
        <f t="shared" si="0"/>
        <v>3275.6549999999997</v>
      </c>
      <c r="Q9" s="5">
        <f t="shared" si="0"/>
        <v>4585.6549999999997</v>
      </c>
      <c r="R9" s="5">
        <f t="shared" si="0"/>
        <v>5895.6549999999997</v>
      </c>
      <c r="S9" s="5">
        <f t="shared" si="0"/>
        <v>46374</v>
      </c>
      <c r="T9" s="2"/>
      <c r="V9" s="3"/>
    </row>
    <row r="10" spans="1:22" x14ac:dyDescent="0.25">
      <c r="A10" s="4" t="s">
        <v>2</v>
      </c>
      <c r="B10" s="4" t="s">
        <v>12</v>
      </c>
      <c r="C10" s="6">
        <v>0.31</v>
      </c>
      <c r="D10" s="5">
        <f>D11*$C$10</f>
        <v>117.8</v>
      </c>
      <c r="E10" s="5">
        <f t="shared" ref="E10:S10" si="1">E11*$C$10</f>
        <v>121.05499999999999</v>
      </c>
      <c r="F10" s="5">
        <f t="shared" si="1"/>
        <v>131.905</v>
      </c>
      <c r="G10" s="5">
        <f t="shared" si="1"/>
        <v>147.405</v>
      </c>
      <c r="H10" s="5">
        <f t="shared" si="1"/>
        <v>170.655</v>
      </c>
      <c r="I10" s="5">
        <f t="shared" si="1"/>
        <v>201.655</v>
      </c>
      <c r="J10" s="5">
        <f t="shared" si="1"/>
        <v>232.655</v>
      </c>
      <c r="K10" s="5">
        <f t="shared" si="1"/>
        <v>263.65499999999997</v>
      </c>
      <c r="L10" s="5">
        <f t="shared" si="1"/>
        <v>294.65499999999997</v>
      </c>
      <c r="M10" s="5">
        <f t="shared" si="1"/>
        <v>356.65499999999997</v>
      </c>
      <c r="N10" s="5">
        <f t="shared" si="1"/>
        <v>449.65499999999997</v>
      </c>
      <c r="O10" s="5">
        <f t="shared" si="1"/>
        <v>558.15499999999997</v>
      </c>
      <c r="P10" s="5">
        <f t="shared" si="1"/>
        <v>775.15499999999997</v>
      </c>
      <c r="Q10" s="5">
        <f t="shared" si="1"/>
        <v>1085.155</v>
      </c>
      <c r="R10" s="5">
        <f t="shared" si="1"/>
        <v>1395.155</v>
      </c>
      <c r="S10" s="5">
        <f t="shared" si="1"/>
        <v>10974</v>
      </c>
      <c r="T10" s="2">
        <f>SUMPRODUCT($D$8:$S$8,D10:S10)</f>
        <v>290.4625259</v>
      </c>
      <c r="U10">
        <f t="shared" ref="U10:U16" si="2">T10*12</f>
        <v>3485.5503108000003</v>
      </c>
      <c r="V10" s="3">
        <f t="shared" ref="V10:V17" si="3">U10/$V$7</f>
        <v>9.1096680809469435E-2</v>
      </c>
    </row>
    <row r="11" spans="1:22" x14ac:dyDescent="0.25">
      <c r="A11" s="4" t="s">
        <v>3</v>
      </c>
      <c r="B11" s="7" t="s">
        <v>13</v>
      </c>
      <c r="C11" s="7"/>
      <c r="D11" s="5">
        <v>380</v>
      </c>
      <c r="E11" s="5">
        <v>390.5</v>
      </c>
      <c r="F11" s="5">
        <v>425.5</v>
      </c>
      <c r="G11" s="5">
        <v>475.5</v>
      </c>
      <c r="H11" s="5">
        <v>550.5</v>
      </c>
      <c r="I11" s="5">
        <v>650.5</v>
      </c>
      <c r="J11" s="5">
        <v>750.5</v>
      </c>
      <c r="K11" s="5">
        <v>850.5</v>
      </c>
      <c r="L11" s="5">
        <v>950.5</v>
      </c>
      <c r="M11" s="5">
        <v>1150.5</v>
      </c>
      <c r="N11" s="5">
        <v>1450.5</v>
      </c>
      <c r="O11" s="5">
        <v>1800.5</v>
      </c>
      <c r="P11" s="5">
        <v>2500.5</v>
      </c>
      <c r="Q11" s="5">
        <v>3500.5</v>
      </c>
      <c r="R11" s="5">
        <v>4500.5</v>
      </c>
      <c r="S11" s="5">
        <v>35400</v>
      </c>
      <c r="T11" s="2"/>
      <c r="V11" s="3"/>
    </row>
    <row r="12" spans="1:22" x14ac:dyDescent="0.25">
      <c r="A12" s="4" t="s">
        <v>4</v>
      </c>
      <c r="B12" s="18" t="s">
        <v>14</v>
      </c>
      <c r="C12" s="18">
        <f>B4</f>
        <v>200</v>
      </c>
      <c r="D12" s="24">
        <f>MAX(0,$C$12-0.34*(D11-$B$2))</f>
        <v>200</v>
      </c>
      <c r="E12" s="24">
        <f t="shared" ref="E12:S12" si="4">MAX(0,$C$12-0.34*(E11-$B$2))</f>
        <v>196.43</v>
      </c>
      <c r="F12" s="24">
        <f t="shared" si="4"/>
        <v>184.53</v>
      </c>
      <c r="G12" s="24">
        <f t="shared" si="4"/>
        <v>167.53</v>
      </c>
      <c r="H12" s="24">
        <f t="shared" si="4"/>
        <v>142.03</v>
      </c>
      <c r="I12" s="24">
        <f t="shared" si="4"/>
        <v>108.02999999999999</v>
      </c>
      <c r="J12" s="24">
        <f t="shared" si="4"/>
        <v>74.029999999999987</v>
      </c>
      <c r="K12" s="24">
        <f t="shared" si="4"/>
        <v>40.03</v>
      </c>
      <c r="L12" s="24">
        <f t="shared" si="4"/>
        <v>6.0299999999999727</v>
      </c>
      <c r="M12" s="24">
        <f t="shared" si="4"/>
        <v>0</v>
      </c>
      <c r="N12" s="24">
        <f t="shared" si="4"/>
        <v>0</v>
      </c>
      <c r="O12" s="24">
        <f t="shared" si="4"/>
        <v>0</v>
      </c>
      <c r="P12" s="24">
        <f t="shared" si="4"/>
        <v>0</v>
      </c>
      <c r="Q12" s="24">
        <f t="shared" si="4"/>
        <v>0</v>
      </c>
      <c r="R12" s="24">
        <f t="shared" si="4"/>
        <v>0</v>
      </c>
      <c r="S12" s="24">
        <f t="shared" si="4"/>
        <v>0</v>
      </c>
      <c r="T12" s="2"/>
      <c r="V12" s="3"/>
    </row>
    <row r="13" spans="1:22" x14ac:dyDescent="0.25">
      <c r="A13" s="4" t="s">
        <v>5</v>
      </c>
      <c r="B13" s="8" t="s">
        <v>15</v>
      </c>
      <c r="C13" s="8"/>
      <c r="D13" s="5">
        <f>D11-D12</f>
        <v>180</v>
      </c>
      <c r="E13" s="5">
        <f t="shared" ref="E13:S13" si="5">E11-E12</f>
        <v>194.07</v>
      </c>
      <c r="F13" s="5">
        <f t="shared" si="5"/>
        <v>240.97</v>
      </c>
      <c r="G13" s="5">
        <f t="shared" si="5"/>
        <v>307.97000000000003</v>
      </c>
      <c r="H13" s="5">
        <f t="shared" si="5"/>
        <v>408.47</v>
      </c>
      <c r="I13" s="5">
        <f t="shared" si="5"/>
        <v>542.47</v>
      </c>
      <c r="J13" s="5">
        <f t="shared" si="5"/>
        <v>676.47</v>
      </c>
      <c r="K13" s="5">
        <f t="shared" si="5"/>
        <v>810.47</v>
      </c>
      <c r="L13" s="5">
        <f t="shared" si="5"/>
        <v>944.47</v>
      </c>
      <c r="M13" s="5">
        <f t="shared" si="5"/>
        <v>1150.5</v>
      </c>
      <c r="N13" s="5">
        <f t="shared" si="5"/>
        <v>1450.5</v>
      </c>
      <c r="O13" s="5">
        <f t="shared" si="5"/>
        <v>1800.5</v>
      </c>
      <c r="P13" s="5">
        <f t="shared" si="5"/>
        <v>2500.5</v>
      </c>
      <c r="Q13" s="5">
        <f t="shared" si="5"/>
        <v>3500.5</v>
      </c>
      <c r="R13" s="5">
        <f t="shared" si="5"/>
        <v>4500.5</v>
      </c>
      <c r="S13" s="5">
        <f t="shared" si="5"/>
        <v>35400</v>
      </c>
      <c r="T13" s="2"/>
      <c r="V13" s="3"/>
    </row>
    <row r="14" spans="1:22" x14ac:dyDescent="0.25">
      <c r="A14" s="4" t="s">
        <v>6</v>
      </c>
      <c r="B14" s="4" t="s">
        <v>16</v>
      </c>
      <c r="C14" s="6">
        <v>0.15</v>
      </c>
      <c r="D14" s="5">
        <f>D$13*$C14</f>
        <v>27</v>
      </c>
      <c r="E14" s="5">
        <f t="shared" ref="E14:S14" si="6">E$13*$C14</f>
        <v>29.110499999999998</v>
      </c>
      <c r="F14" s="5">
        <f t="shared" si="6"/>
        <v>36.145499999999998</v>
      </c>
      <c r="G14" s="5">
        <f t="shared" si="6"/>
        <v>46.195500000000003</v>
      </c>
      <c r="H14" s="5">
        <f t="shared" si="6"/>
        <v>61.270499999999998</v>
      </c>
      <c r="I14" s="5">
        <f t="shared" si="6"/>
        <v>81.370500000000007</v>
      </c>
      <c r="J14" s="5">
        <f t="shared" si="6"/>
        <v>101.4705</v>
      </c>
      <c r="K14" s="5">
        <f t="shared" si="6"/>
        <v>121.5705</v>
      </c>
      <c r="L14" s="5">
        <f t="shared" si="6"/>
        <v>141.6705</v>
      </c>
      <c r="M14" s="5">
        <f t="shared" si="6"/>
        <v>172.57499999999999</v>
      </c>
      <c r="N14" s="5">
        <f t="shared" si="6"/>
        <v>217.57499999999999</v>
      </c>
      <c r="O14" s="5">
        <f t="shared" si="6"/>
        <v>270.07499999999999</v>
      </c>
      <c r="P14" s="5">
        <f t="shared" si="6"/>
        <v>375.07499999999999</v>
      </c>
      <c r="Q14" s="5">
        <f t="shared" si="6"/>
        <v>525.07499999999993</v>
      </c>
      <c r="R14" s="5">
        <f t="shared" si="6"/>
        <v>675.07499999999993</v>
      </c>
      <c r="S14" s="5">
        <f t="shared" si="6"/>
        <v>5310</v>
      </c>
      <c r="T14" s="2">
        <f>SUMPRODUCT($D$8:$S$8,D14:S14)</f>
        <v>121.72813613999999</v>
      </c>
      <c r="U14" s="22">
        <f t="shared" si="2"/>
        <v>1460.7376336799998</v>
      </c>
      <c r="V14" s="3">
        <f t="shared" si="3"/>
        <v>3.8177142228994224E-2</v>
      </c>
    </row>
    <row r="15" spans="1:22" x14ac:dyDescent="0.25">
      <c r="A15" s="4" t="s">
        <v>7</v>
      </c>
      <c r="B15" s="4" t="s">
        <v>17</v>
      </c>
      <c r="C15" s="6">
        <v>0.06</v>
      </c>
      <c r="D15" s="5">
        <f>D$11*$C15</f>
        <v>22.8</v>
      </c>
      <c r="E15" s="5">
        <f t="shared" ref="E15:S15" si="7">E$11*$C15</f>
        <v>23.43</v>
      </c>
      <c r="F15" s="5">
        <f t="shared" si="7"/>
        <v>25.529999999999998</v>
      </c>
      <c r="G15" s="5">
        <f t="shared" si="7"/>
        <v>28.529999999999998</v>
      </c>
      <c r="H15" s="5">
        <f t="shared" si="7"/>
        <v>33.03</v>
      </c>
      <c r="I15" s="5">
        <f t="shared" si="7"/>
        <v>39.03</v>
      </c>
      <c r="J15" s="5">
        <f t="shared" si="7"/>
        <v>45.03</v>
      </c>
      <c r="K15" s="5">
        <f t="shared" si="7"/>
        <v>51.03</v>
      </c>
      <c r="L15" s="5">
        <f t="shared" si="7"/>
        <v>57.03</v>
      </c>
      <c r="M15" s="5">
        <f t="shared" si="7"/>
        <v>69.03</v>
      </c>
      <c r="N15" s="5">
        <f t="shared" si="7"/>
        <v>87.03</v>
      </c>
      <c r="O15" s="5">
        <f t="shared" si="7"/>
        <v>108.03</v>
      </c>
      <c r="P15" s="5">
        <f t="shared" si="7"/>
        <v>150.03</v>
      </c>
      <c r="Q15" s="5">
        <f t="shared" si="7"/>
        <v>210.03</v>
      </c>
      <c r="R15" s="5">
        <f t="shared" si="7"/>
        <v>270.02999999999997</v>
      </c>
      <c r="S15" s="5">
        <f t="shared" si="7"/>
        <v>2124</v>
      </c>
      <c r="T15" s="2">
        <f>SUMPRODUCT($D$8:$S$8,D15:S15)</f>
        <v>56.218553399999998</v>
      </c>
      <c r="U15">
        <f t="shared" si="2"/>
        <v>674.6226408</v>
      </c>
      <c r="V15" s="3">
        <f t="shared" si="3"/>
        <v>1.763161564054247E-2</v>
      </c>
    </row>
    <row r="16" spans="1:22" x14ac:dyDescent="0.25">
      <c r="A16" s="4" t="s">
        <v>8</v>
      </c>
      <c r="B16" s="4" t="s">
        <v>18</v>
      </c>
      <c r="C16" s="6">
        <v>0.03</v>
      </c>
      <c r="D16" s="5">
        <f t="shared" ref="D16:S16" si="8">D$11*$C16</f>
        <v>11.4</v>
      </c>
      <c r="E16" s="5">
        <f t="shared" si="8"/>
        <v>11.715</v>
      </c>
      <c r="F16" s="5">
        <f t="shared" si="8"/>
        <v>12.764999999999999</v>
      </c>
      <c r="G16" s="5">
        <f t="shared" si="8"/>
        <v>14.264999999999999</v>
      </c>
      <c r="H16" s="5">
        <f t="shared" si="8"/>
        <v>16.515000000000001</v>
      </c>
      <c r="I16" s="5">
        <f t="shared" si="8"/>
        <v>19.515000000000001</v>
      </c>
      <c r="J16" s="5">
        <f t="shared" si="8"/>
        <v>22.515000000000001</v>
      </c>
      <c r="K16" s="5">
        <f t="shared" si="8"/>
        <v>25.515000000000001</v>
      </c>
      <c r="L16" s="5">
        <f t="shared" si="8"/>
        <v>28.515000000000001</v>
      </c>
      <c r="M16" s="5">
        <f t="shared" si="8"/>
        <v>34.515000000000001</v>
      </c>
      <c r="N16" s="5">
        <f t="shared" si="8"/>
        <v>43.515000000000001</v>
      </c>
      <c r="O16" s="5">
        <f t="shared" si="8"/>
        <v>54.015000000000001</v>
      </c>
      <c r="P16" s="5">
        <f t="shared" si="8"/>
        <v>75.015000000000001</v>
      </c>
      <c r="Q16" s="5">
        <f t="shared" si="8"/>
        <v>105.015</v>
      </c>
      <c r="R16" s="5">
        <f t="shared" si="8"/>
        <v>135.01499999999999</v>
      </c>
      <c r="S16" s="5">
        <f t="shared" si="8"/>
        <v>1062</v>
      </c>
      <c r="T16" s="2">
        <f>SUMPRODUCT($D$8:$S$8,D16:S16)</f>
        <v>28.109276699999999</v>
      </c>
      <c r="U16">
        <f t="shared" si="2"/>
        <v>337.3113204</v>
      </c>
      <c r="V16" s="3">
        <f t="shared" si="3"/>
        <v>8.8158078202712348E-3</v>
      </c>
    </row>
    <row r="17" spans="1:22" x14ac:dyDescent="0.25">
      <c r="A17" s="8" t="s">
        <v>9</v>
      </c>
      <c r="B17" s="8" t="s">
        <v>19</v>
      </c>
      <c r="C17" s="8"/>
      <c r="D17" s="5">
        <f>SUM(D14:D16,D10)</f>
        <v>179</v>
      </c>
      <c r="E17" s="5">
        <f t="shared" ref="E17:S17" si="9">SUM(E14:E16,E10)</f>
        <v>185.31049999999999</v>
      </c>
      <c r="F17" s="5">
        <f t="shared" si="9"/>
        <v>206.34550000000002</v>
      </c>
      <c r="G17" s="5">
        <f t="shared" si="9"/>
        <v>236.3955</v>
      </c>
      <c r="H17" s="5">
        <f t="shared" si="9"/>
        <v>281.47050000000002</v>
      </c>
      <c r="I17" s="5">
        <f t="shared" si="9"/>
        <v>341.57050000000004</v>
      </c>
      <c r="J17" s="5">
        <f t="shared" si="9"/>
        <v>401.67049999999995</v>
      </c>
      <c r="K17" s="5">
        <f t="shared" si="9"/>
        <v>461.77049999999997</v>
      </c>
      <c r="L17" s="5">
        <f t="shared" si="9"/>
        <v>521.87049999999999</v>
      </c>
      <c r="M17" s="5">
        <f t="shared" si="9"/>
        <v>632.77499999999998</v>
      </c>
      <c r="N17" s="5">
        <f t="shared" si="9"/>
        <v>797.77499999999998</v>
      </c>
      <c r="O17" s="5">
        <f t="shared" si="9"/>
        <v>990.27499999999998</v>
      </c>
      <c r="P17" s="5">
        <f t="shared" si="9"/>
        <v>1375.2750000000001</v>
      </c>
      <c r="Q17" s="5">
        <f t="shared" si="9"/>
        <v>1925.2749999999999</v>
      </c>
      <c r="R17" s="5">
        <f t="shared" si="9"/>
        <v>2475.2749999999996</v>
      </c>
      <c r="S17" s="5">
        <f t="shared" si="9"/>
        <v>19470</v>
      </c>
      <c r="T17" s="2">
        <f>SUMPRODUCT($D$8:$S$8,D17:S17)</f>
        <v>496.51849214000003</v>
      </c>
      <c r="U17">
        <f>T17*12</f>
        <v>5958.2219056800004</v>
      </c>
      <c r="V17" s="3">
        <f t="shared" si="3"/>
        <v>0.15572124649927738</v>
      </c>
    </row>
    <row r="18" spans="1:22" x14ac:dyDescent="0.25">
      <c r="A18" s="4" t="s">
        <v>10</v>
      </c>
      <c r="B18" s="8" t="s">
        <v>20</v>
      </c>
      <c r="C18" s="8"/>
      <c r="D18" s="6">
        <f>D17/D9</f>
        <v>0.35958216151064681</v>
      </c>
      <c r="E18" s="6">
        <f t="shared" ref="E18:S18" si="10">E17/E9</f>
        <v>0.36224941599632493</v>
      </c>
      <c r="F18" s="6">
        <f t="shared" si="10"/>
        <v>0.37018953902458718</v>
      </c>
      <c r="G18" s="6">
        <f t="shared" si="10"/>
        <v>0.37950490042622875</v>
      </c>
      <c r="H18" s="6">
        <f t="shared" si="10"/>
        <v>0.3903051355117832</v>
      </c>
      <c r="I18" s="6">
        <f t="shared" si="10"/>
        <v>0.40083142151369183</v>
      </c>
      <c r="J18" s="6">
        <f t="shared" si="10"/>
        <v>0.40855256800809636</v>
      </c>
      <c r="K18" s="6">
        <f t="shared" si="10"/>
        <v>0.41445804219341115</v>
      </c>
      <c r="L18" s="6">
        <f t="shared" si="10"/>
        <v>0.41912091265746032</v>
      </c>
      <c r="M18" s="6">
        <f t="shared" si="10"/>
        <v>0.41984732824427479</v>
      </c>
      <c r="N18" s="6">
        <f t="shared" si="10"/>
        <v>0.41984732824427479</v>
      </c>
      <c r="O18" s="6">
        <f t="shared" si="10"/>
        <v>0.41984732824427484</v>
      </c>
      <c r="P18" s="6">
        <f t="shared" si="10"/>
        <v>0.41984732824427484</v>
      </c>
      <c r="Q18" s="6">
        <f t="shared" si="10"/>
        <v>0.41984732824427479</v>
      </c>
      <c r="R18" s="6">
        <f t="shared" si="10"/>
        <v>0.41984732824427479</v>
      </c>
      <c r="S18" s="6">
        <f t="shared" si="10"/>
        <v>0.41984732824427479</v>
      </c>
    </row>
    <row r="19" spans="1:22" x14ac:dyDescent="0.25">
      <c r="A19" s="10" t="s">
        <v>27</v>
      </c>
      <c r="B19" s="10" t="s">
        <v>28</v>
      </c>
      <c r="C19" s="4"/>
      <c r="D19" s="5">
        <f>D11-D14-D15-D16</f>
        <v>318.8</v>
      </c>
      <c r="E19" s="5">
        <f t="shared" ref="E19:S19" si="11">E11-E14-E15-E16</f>
        <v>326.24450000000002</v>
      </c>
      <c r="F19" s="5">
        <f t="shared" si="11"/>
        <v>351.05950000000007</v>
      </c>
      <c r="G19" s="5">
        <f t="shared" si="11"/>
        <v>386.50950000000006</v>
      </c>
      <c r="H19" s="5">
        <f t="shared" si="11"/>
        <v>439.68450000000007</v>
      </c>
      <c r="I19" s="5">
        <f t="shared" si="11"/>
        <v>510.58450000000005</v>
      </c>
      <c r="J19" s="5">
        <f t="shared" si="11"/>
        <v>581.48450000000003</v>
      </c>
      <c r="K19" s="5">
        <f t="shared" si="11"/>
        <v>652.3845</v>
      </c>
      <c r="L19" s="5">
        <f t="shared" si="11"/>
        <v>723.28450000000009</v>
      </c>
      <c r="M19" s="5">
        <f t="shared" si="11"/>
        <v>874.38</v>
      </c>
      <c r="N19" s="5">
        <f t="shared" si="11"/>
        <v>1102.3799999999999</v>
      </c>
      <c r="O19" s="5">
        <f t="shared" si="11"/>
        <v>1368.3799999999999</v>
      </c>
      <c r="P19" s="5">
        <f t="shared" si="11"/>
        <v>1900.38</v>
      </c>
      <c r="Q19" s="5">
        <f t="shared" si="11"/>
        <v>2660.38</v>
      </c>
      <c r="R19" s="5">
        <f t="shared" si="11"/>
        <v>3420.3800000000006</v>
      </c>
      <c r="S19" s="5">
        <f t="shared" si="11"/>
        <v>26904</v>
      </c>
    </row>
    <row r="20" spans="1:22" x14ac:dyDescent="0.25">
      <c r="A20" s="9"/>
      <c r="B20" s="9"/>
    </row>
    <row r="21" spans="1:22" x14ac:dyDescent="0.25">
      <c r="D21" s="1" t="s">
        <v>21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V21">
        <v>38730</v>
      </c>
    </row>
    <row r="22" spans="1:22" x14ac:dyDescent="0.25">
      <c r="A22" s="4" t="s">
        <v>0</v>
      </c>
      <c r="B22" s="4" t="s">
        <v>60</v>
      </c>
      <c r="C22" s="4"/>
      <c r="D22" s="15">
        <v>0.26935000000000003</v>
      </c>
      <c r="E22" s="15">
        <v>3.6060000000000002E-2</v>
      </c>
      <c r="F22" s="15">
        <v>6.9370000000000001E-2</v>
      </c>
      <c r="G22" s="15">
        <v>8.4500000000000006E-2</v>
      </c>
      <c r="H22" s="15">
        <v>0.12222</v>
      </c>
      <c r="I22" s="15">
        <v>9.9449999999999997E-2</v>
      </c>
      <c r="J22" s="15">
        <v>8.6779999999999996E-2</v>
      </c>
      <c r="K22" s="15">
        <v>6.7049999999999998E-2</v>
      </c>
      <c r="L22" s="15">
        <v>5.5350000000000003E-2</v>
      </c>
      <c r="M22" s="15">
        <v>9.6170000000000005E-2</v>
      </c>
      <c r="N22" s="15">
        <v>4.7810000000000005E-2</v>
      </c>
      <c r="O22" s="15">
        <v>2.9870000000000001E-2</v>
      </c>
      <c r="P22" s="15">
        <v>2.5829999999999999E-2</v>
      </c>
      <c r="Q22" s="15">
        <v>7.3200000000000001E-3</v>
      </c>
      <c r="R22" s="15">
        <v>2.7000000000000001E-3</v>
      </c>
      <c r="S22" s="15">
        <v>3.0499999999999998E-3</v>
      </c>
      <c r="T22">
        <f>SUM(D22:S22)</f>
        <v>1.1028800000000001</v>
      </c>
      <c r="V22" s="3"/>
    </row>
    <row r="23" spans="1:22" x14ac:dyDescent="0.25">
      <c r="A23" s="4" t="s">
        <v>1</v>
      </c>
      <c r="B23" s="4" t="s">
        <v>57</v>
      </c>
      <c r="C23" s="4"/>
      <c r="D23" s="5">
        <f>D9</f>
        <v>497.8</v>
      </c>
      <c r="E23" s="5">
        <f t="shared" ref="E23:S23" si="12">E9</f>
        <v>511.55500000000001</v>
      </c>
      <c r="F23" s="5">
        <f t="shared" si="12"/>
        <v>557.40499999999997</v>
      </c>
      <c r="G23" s="5">
        <f t="shared" si="12"/>
        <v>622.90499999999997</v>
      </c>
      <c r="H23" s="5">
        <f t="shared" si="12"/>
        <v>721.15499999999997</v>
      </c>
      <c r="I23" s="5">
        <f t="shared" si="12"/>
        <v>852.15499999999997</v>
      </c>
      <c r="J23" s="5">
        <f t="shared" si="12"/>
        <v>983.15499999999997</v>
      </c>
      <c r="K23" s="5">
        <f t="shared" si="12"/>
        <v>1114.155</v>
      </c>
      <c r="L23" s="5">
        <f t="shared" si="12"/>
        <v>1245.155</v>
      </c>
      <c r="M23" s="5">
        <f t="shared" si="12"/>
        <v>1507.155</v>
      </c>
      <c r="N23" s="5">
        <f t="shared" si="12"/>
        <v>1900.155</v>
      </c>
      <c r="O23" s="5">
        <f t="shared" si="12"/>
        <v>2358.6549999999997</v>
      </c>
      <c r="P23" s="5">
        <f t="shared" si="12"/>
        <v>3275.6549999999997</v>
      </c>
      <c r="Q23" s="5">
        <f t="shared" si="12"/>
        <v>4585.6549999999997</v>
      </c>
      <c r="R23" s="5">
        <f t="shared" si="12"/>
        <v>5895.6549999999997</v>
      </c>
      <c r="S23" s="5">
        <f t="shared" si="12"/>
        <v>46374</v>
      </c>
      <c r="T23" s="2"/>
      <c r="V23" s="3"/>
    </row>
    <row r="24" spans="1:22" x14ac:dyDescent="0.25">
      <c r="A24" s="4" t="s">
        <v>2</v>
      </c>
      <c r="B24" s="4" t="s">
        <v>49</v>
      </c>
      <c r="C24" s="26">
        <v>0</v>
      </c>
      <c r="D24" s="5">
        <f>D23*(1-(1/(1+$C$24)))</f>
        <v>0</v>
      </c>
      <c r="E24" s="5">
        <f t="shared" ref="E24:S24" si="13">E23*(1-(1/(1+$C$24)))</f>
        <v>0</v>
      </c>
      <c r="F24" s="5">
        <f t="shared" si="13"/>
        <v>0</v>
      </c>
      <c r="G24" s="5">
        <f t="shared" si="13"/>
        <v>0</v>
      </c>
      <c r="H24" s="5">
        <f t="shared" si="13"/>
        <v>0</v>
      </c>
      <c r="I24" s="5">
        <f t="shared" si="13"/>
        <v>0</v>
      </c>
      <c r="J24" s="5">
        <f t="shared" si="13"/>
        <v>0</v>
      </c>
      <c r="K24" s="5">
        <f t="shared" si="13"/>
        <v>0</v>
      </c>
      <c r="L24" s="5">
        <f t="shared" si="13"/>
        <v>0</v>
      </c>
      <c r="M24" s="5">
        <f t="shared" si="13"/>
        <v>0</v>
      </c>
      <c r="N24" s="5">
        <f t="shared" si="13"/>
        <v>0</v>
      </c>
      <c r="O24" s="5">
        <f t="shared" si="13"/>
        <v>0</v>
      </c>
      <c r="P24" s="5">
        <f t="shared" si="13"/>
        <v>0</v>
      </c>
      <c r="Q24" s="5">
        <f t="shared" si="13"/>
        <v>0</v>
      </c>
      <c r="R24" s="5">
        <f t="shared" si="13"/>
        <v>0</v>
      </c>
      <c r="S24" s="5">
        <f t="shared" si="13"/>
        <v>0</v>
      </c>
      <c r="T24" s="2">
        <f>SUMPRODUCT($D$8:$S$8,D24:S24)</f>
        <v>0</v>
      </c>
      <c r="U24">
        <f t="shared" ref="U24:U31" si="14">T24*12</f>
        <v>0</v>
      </c>
      <c r="V24" s="3">
        <f>U24/$V$7</f>
        <v>0</v>
      </c>
    </row>
    <row r="25" spans="1:22" x14ac:dyDescent="0.25">
      <c r="A25" s="4" t="s">
        <v>3</v>
      </c>
      <c r="B25" s="7" t="s">
        <v>58</v>
      </c>
      <c r="C25" s="7"/>
      <c r="D25" s="5">
        <f>D23-D24</f>
        <v>497.8</v>
      </c>
      <c r="E25" s="5">
        <f t="shared" ref="E25:S25" si="15">E23-E24</f>
        <v>511.55500000000001</v>
      </c>
      <c r="F25" s="5">
        <f t="shared" si="15"/>
        <v>557.40499999999997</v>
      </c>
      <c r="G25" s="5">
        <f t="shared" si="15"/>
        <v>622.90499999999997</v>
      </c>
      <c r="H25" s="5">
        <f t="shared" si="15"/>
        <v>721.15499999999997</v>
      </c>
      <c r="I25" s="5">
        <f t="shared" si="15"/>
        <v>852.15499999999997</v>
      </c>
      <c r="J25" s="5">
        <f t="shared" si="15"/>
        <v>983.15499999999997</v>
      </c>
      <c r="K25" s="5">
        <f t="shared" si="15"/>
        <v>1114.155</v>
      </c>
      <c r="L25" s="5">
        <f t="shared" si="15"/>
        <v>1245.155</v>
      </c>
      <c r="M25" s="5">
        <f t="shared" si="15"/>
        <v>1507.155</v>
      </c>
      <c r="N25" s="5">
        <f t="shared" si="15"/>
        <v>1900.155</v>
      </c>
      <c r="O25" s="5">
        <f t="shared" si="15"/>
        <v>2358.6549999999997</v>
      </c>
      <c r="P25" s="5">
        <f t="shared" si="15"/>
        <v>3275.6549999999997</v>
      </c>
      <c r="Q25" s="5">
        <f t="shared" si="15"/>
        <v>4585.6549999999997</v>
      </c>
      <c r="R25" s="5">
        <f t="shared" si="15"/>
        <v>5895.6549999999997</v>
      </c>
      <c r="S25" s="5">
        <f t="shared" si="15"/>
        <v>46374</v>
      </c>
      <c r="T25" s="2"/>
      <c r="V25" s="3"/>
    </row>
    <row r="26" spans="1:22" x14ac:dyDescent="0.25">
      <c r="A26" s="4" t="s">
        <v>4</v>
      </c>
      <c r="B26" s="20" t="s">
        <v>50</v>
      </c>
      <c r="C26" s="20">
        <f>B5</f>
        <v>380</v>
      </c>
      <c r="D26" s="25">
        <f>MAX(0,$C$26-0.34*(D25-$B$2))</f>
        <v>339.94799999999998</v>
      </c>
      <c r="E26" s="25">
        <f t="shared" ref="E26:S26" si="16">MAX(0,$C$26-0.34*(E25-$B$2))</f>
        <v>335.2713</v>
      </c>
      <c r="F26" s="25">
        <f t="shared" si="16"/>
        <v>319.6823</v>
      </c>
      <c r="G26" s="25">
        <f t="shared" si="16"/>
        <v>297.41230000000002</v>
      </c>
      <c r="H26" s="25">
        <f t="shared" si="16"/>
        <v>264.00729999999999</v>
      </c>
      <c r="I26" s="25">
        <f t="shared" si="16"/>
        <v>219.46729999999999</v>
      </c>
      <c r="J26" s="25">
        <f t="shared" si="16"/>
        <v>174.9273</v>
      </c>
      <c r="K26" s="25">
        <f t="shared" si="16"/>
        <v>130.38729999999998</v>
      </c>
      <c r="L26" s="25">
        <f t="shared" si="16"/>
        <v>85.847299999999962</v>
      </c>
      <c r="M26" s="25">
        <f t="shared" si="16"/>
        <v>0</v>
      </c>
      <c r="N26" s="25">
        <f t="shared" si="16"/>
        <v>0</v>
      </c>
      <c r="O26" s="25">
        <f t="shared" si="16"/>
        <v>0</v>
      </c>
      <c r="P26" s="25">
        <f t="shared" si="16"/>
        <v>0</v>
      </c>
      <c r="Q26" s="25">
        <f t="shared" si="16"/>
        <v>0</v>
      </c>
      <c r="R26" s="25">
        <f t="shared" si="16"/>
        <v>0</v>
      </c>
      <c r="S26" s="25">
        <f t="shared" si="16"/>
        <v>0</v>
      </c>
      <c r="T26" s="2"/>
      <c r="V26" s="3"/>
    </row>
    <row r="27" spans="1:22" x14ac:dyDescent="0.25">
      <c r="A27" s="4" t="s">
        <v>5</v>
      </c>
      <c r="B27" s="8" t="s">
        <v>15</v>
      </c>
      <c r="C27" s="8"/>
      <c r="D27" s="5">
        <f>D25-D26</f>
        <v>157.85200000000003</v>
      </c>
      <c r="E27" s="5">
        <f t="shared" ref="E27:S27" si="17">E25-E26</f>
        <v>176.28370000000001</v>
      </c>
      <c r="F27" s="5">
        <f t="shared" si="17"/>
        <v>237.72269999999997</v>
      </c>
      <c r="G27" s="5">
        <f t="shared" si="17"/>
        <v>325.49269999999996</v>
      </c>
      <c r="H27" s="5">
        <f t="shared" si="17"/>
        <v>457.14769999999999</v>
      </c>
      <c r="I27" s="5">
        <f t="shared" si="17"/>
        <v>632.68769999999995</v>
      </c>
      <c r="J27" s="5">
        <f t="shared" si="17"/>
        <v>808.22769999999991</v>
      </c>
      <c r="K27" s="5">
        <f t="shared" si="17"/>
        <v>983.76769999999999</v>
      </c>
      <c r="L27" s="5">
        <f t="shared" si="17"/>
        <v>1159.3077000000001</v>
      </c>
      <c r="M27" s="5">
        <f t="shared" si="17"/>
        <v>1507.155</v>
      </c>
      <c r="N27" s="5">
        <f t="shared" si="17"/>
        <v>1900.155</v>
      </c>
      <c r="O27" s="5">
        <f t="shared" si="17"/>
        <v>2358.6549999999997</v>
      </c>
      <c r="P27" s="5">
        <f t="shared" si="17"/>
        <v>3275.6549999999997</v>
      </c>
      <c r="Q27" s="5">
        <f t="shared" si="17"/>
        <v>4585.6549999999997</v>
      </c>
      <c r="R27" s="5">
        <f t="shared" si="17"/>
        <v>5895.6549999999997</v>
      </c>
      <c r="S27" s="5">
        <f t="shared" si="17"/>
        <v>46374</v>
      </c>
      <c r="T27" s="2"/>
      <c r="V27" s="3"/>
    </row>
    <row r="28" spans="1:22" x14ac:dyDescent="0.25">
      <c r="A28" s="4" t="s">
        <v>6</v>
      </c>
      <c r="B28" s="4" t="s">
        <v>51</v>
      </c>
      <c r="C28" s="11">
        <v>0.49966209838606451</v>
      </c>
      <c r="D28" s="5">
        <f>D$27*$C28</f>
        <v>78.872661554437073</v>
      </c>
      <c r="E28" s="5">
        <f t="shared" ref="E28:S28" si="18">E$27*$C28</f>
        <v>88.082283453259492</v>
      </c>
      <c r="F28" s="5">
        <f t="shared" si="18"/>
        <v>118.78102311600088</v>
      </c>
      <c r="G28" s="5">
        <f t="shared" si="18"/>
        <v>162.63636549134577</v>
      </c>
      <c r="H28" s="5">
        <f t="shared" si="18"/>
        <v>228.41937905436311</v>
      </c>
      <c r="I28" s="5">
        <f t="shared" si="18"/>
        <v>316.13006380505283</v>
      </c>
      <c r="J28" s="5">
        <f t="shared" si="18"/>
        <v>403.84074855574261</v>
      </c>
      <c r="K28" s="5">
        <f t="shared" si="18"/>
        <v>491.55143330643239</v>
      </c>
      <c r="L28" s="5">
        <f t="shared" si="18"/>
        <v>579.26211805712217</v>
      </c>
      <c r="M28" s="5">
        <f t="shared" si="18"/>
        <v>753.06822989304908</v>
      </c>
      <c r="N28" s="5">
        <f t="shared" si="18"/>
        <v>949.43543455877239</v>
      </c>
      <c r="O28" s="5">
        <f t="shared" si="18"/>
        <v>1178.5305066687829</v>
      </c>
      <c r="P28" s="5">
        <f t="shared" si="18"/>
        <v>1636.7206508888041</v>
      </c>
      <c r="Q28" s="5">
        <f t="shared" si="18"/>
        <v>2291.2779997745483</v>
      </c>
      <c r="R28" s="5">
        <f t="shared" si="18"/>
        <v>2945.8353486602932</v>
      </c>
      <c r="S28" s="5">
        <f t="shared" si="18"/>
        <v>23171.330150555357</v>
      </c>
      <c r="T28" s="2">
        <f>SUMPRODUCT($D$22:$S$22,D28:S28)</f>
        <v>496.51849214000009</v>
      </c>
      <c r="U28">
        <f t="shared" si="14"/>
        <v>5958.2219056800013</v>
      </c>
      <c r="V28" s="3">
        <f>U28/$V$7</f>
        <v>0.1557212464992774</v>
      </c>
    </row>
    <row r="29" spans="1:22" x14ac:dyDescent="0.25">
      <c r="A29" s="4" t="s">
        <v>7</v>
      </c>
      <c r="B29" s="4" t="s">
        <v>52</v>
      </c>
      <c r="C29" s="26">
        <v>0</v>
      </c>
      <c r="D29" s="5">
        <f t="shared" ref="D29:S30" si="19">D$25*$C29</f>
        <v>0</v>
      </c>
      <c r="E29" s="5">
        <f t="shared" si="19"/>
        <v>0</v>
      </c>
      <c r="F29" s="5">
        <f t="shared" si="19"/>
        <v>0</v>
      </c>
      <c r="G29" s="5">
        <f t="shared" si="19"/>
        <v>0</v>
      </c>
      <c r="H29" s="5">
        <f t="shared" si="19"/>
        <v>0</v>
      </c>
      <c r="I29" s="5">
        <f t="shared" si="19"/>
        <v>0</v>
      </c>
      <c r="J29" s="5">
        <f t="shared" si="19"/>
        <v>0</v>
      </c>
      <c r="K29" s="5">
        <f t="shared" si="19"/>
        <v>0</v>
      </c>
      <c r="L29" s="5">
        <f t="shared" si="19"/>
        <v>0</v>
      </c>
      <c r="M29" s="5">
        <f t="shared" si="19"/>
        <v>0</v>
      </c>
      <c r="N29" s="5">
        <f t="shared" si="19"/>
        <v>0</v>
      </c>
      <c r="O29" s="5">
        <f t="shared" si="19"/>
        <v>0</v>
      </c>
      <c r="P29" s="5">
        <f t="shared" si="19"/>
        <v>0</v>
      </c>
      <c r="Q29" s="5">
        <f t="shared" si="19"/>
        <v>0</v>
      </c>
      <c r="R29" s="5">
        <f t="shared" si="19"/>
        <v>0</v>
      </c>
      <c r="S29" s="5">
        <f t="shared" si="19"/>
        <v>0</v>
      </c>
      <c r="T29" s="2">
        <f>SUMPRODUCT($D$22:$S$22,D29:S29)</f>
        <v>0</v>
      </c>
      <c r="U29">
        <f t="shared" si="14"/>
        <v>0</v>
      </c>
      <c r="V29" s="3">
        <f>U29/$V$7</f>
        <v>0</v>
      </c>
    </row>
    <row r="30" spans="1:22" x14ac:dyDescent="0.25">
      <c r="A30" s="4" t="s">
        <v>8</v>
      </c>
      <c r="B30" s="4" t="s">
        <v>53</v>
      </c>
      <c r="C30" s="26">
        <v>0</v>
      </c>
      <c r="D30" s="5">
        <f t="shared" si="19"/>
        <v>0</v>
      </c>
      <c r="E30" s="5">
        <f t="shared" si="19"/>
        <v>0</v>
      </c>
      <c r="F30" s="5">
        <f t="shared" si="19"/>
        <v>0</v>
      </c>
      <c r="G30" s="5">
        <f t="shared" si="19"/>
        <v>0</v>
      </c>
      <c r="H30" s="5">
        <f t="shared" si="19"/>
        <v>0</v>
      </c>
      <c r="I30" s="5">
        <f t="shared" si="19"/>
        <v>0</v>
      </c>
      <c r="J30" s="5">
        <f t="shared" si="19"/>
        <v>0</v>
      </c>
      <c r="K30" s="5">
        <f t="shared" si="19"/>
        <v>0</v>
      </c>
      <c r="L30" s="5">
        <f t="shared" si="19"/>
        <v>0</v>
      </c>
      <c r="M30" s="5">
        <f t="shared" si="19"/>
        <v>0</v>
      </c>
      <c r="N30" s="5">
        <f t="shared" si="19"/>
        <v>0</v>
      </c>
      <c r="O30" s="5">
        <f t="shared" si="19"/>
        <v>0</v>
      </c>
      <c r="P30" s="5">
        <f t="shared" si="19"/>
        <v>0</v>
      </c>
      <c r="Q30" s="5">
        <f t="shared" si="19"/>
        <v>0</v>
      </c>
      <c r="R30" s="5">
        <f t="shared" si="19"/>
        <v>0</v>
      </c>
      <c r="S30" s="5">
        <f t="shared" si="19"/>
        <v>0</v>
      </c>
      <c r="T30" s="2">
        <f>SUMPRODUCT($D$22:$S$22,D30:S30)</f>
        <v>0</v>
      </c>
      <c r="U30">
        <f t="shared" si="14"/>
        <v>0</v>
      </c>
      <c r="V30" s="3">
        <f>U30/$V$7</f>
        <v>0</v>
      </c>
    </row>
    <row r="31" spans="1:22" x14ac:dyDescent="0.25">
      <c r="A31" s="8" t="s">
        <v>9</v>
      </c>
      <c r="B31" s="8" t="s">
        <v>54</v>
      </c>
      <c r="C31" s="8"/>
      <c r="D31" s="5">
        <f>SUM(D28:D30,D24)</f>
        <v>78.872661554437073</v>
      </c>
      <c r="E31" s="5">
        <f t="shared" ref="E31:S31" si="20">SUM(E28:E30,E24)</f>
        <v>88.082283453259492</v>
      </c>
      <c r="F31" s="5">
        <f t="shared" si="20"/>
        <v>118.78102311600088</v>
      </c>
      <c r="G31" s="5">
        <f t="shared" si="20"/>
        <v>162.63636549134577</v>
      </c>
      <c r="H31" s="5">
        <f t="shared" si="20"/>
        <v>228.41937905436311</v>
      </c>
      <c r="I31" s="5">
        <f t="shared" si="20"/>
        <v>316.13006380505283</v>
      </c>
      <c r="J31" s="5">
        <f t="shared" si="20"/>
        <v>403.84074855574261</v>
      </c>
      <c r="K31" s="5">
        <f t="shared" si="20"/>
        <v>491.55143330643239</v>
      </c>
      <c r="L31" s="5">
        <f t="shared" si="20"/>
        <v>579.26211805712217</v>
      </c>
      <c r="M31" s="5">
        <f t="shared" si="20"/>
        <v>753.06822989304908</v>
      </c>
      <c r="N31" s="5">
        <f t="shared" si="20"/>
        <v>949.43543455877239</v>
      </c>
      <c r="O31" s="5">
        <f t="shared" si="20"/>
        <v>1178.5305066687829</v>
      </c>
      <c r="P31" s="5">
        <f t="shared" si="20"/>
        <v>1636.7206508888041</v>
      </c>
      <c r="Q31" s="5">
        <f t="shared" si="20"/>
        <v>2291.2779997745483</v>
      </c>
      <c r="R31" s="5">
        <f t="shared" si="20"/>
        <v>2945.8353486602932</v>
      </c>
      <c r="S31" s="5">
        <f t="shared" si="20"/>
        <v>23171.330150555357</v>
      </c>
      <c r="T31" s="2">
        <f>SUMPRODUCT($D$22:$S$22,D31:S31)</f>
        <v>496.51849214000009</v>
      </c>
      <c r="U31">
        <f t="shared" si="14"/>
        <v>5958.2219056800013</v>
      </c>
      <c r="V31" s="3">
        <f>U31/$V$7</f>
        <v>0.1557212464992774</v>
      </c>
    </row>
    <row r="32" spans="1:22" x14ac:dyDescent="0.25">
      <c r="A32" s="4" t="s">
        <v>10</v>
      </c>
      <c r="B32" s="8" t="s">
        <v>55</v>
      </c>
      <c r="C32" s="8"/>
      <c r="D32" s="6">
        <f>D31/D23</f>
        <v>0.15844246997677194</v>
      </c>
      <c r="E32" s="6">
        <f t="shared" ref="E32:S32" si="21">E31/E23</f>
        <v>0.17218536316380348</v>
      </c>
      <c r="F32" s="6">
        <f t="shared" si="21"/>
        <v>0.21309644354822954</v>
      </c>
      <c r="G32" s="6">
        <f t="shared" si="21"/>
        <v>0.26109336976159409</v>
      </c>
      <c r="H32" s="6">
        <f t="shared" si="21"/>
        <v>0.31674103216973204</v>
      </c>
      <c r="I32" s="6">
        <f t="shared" si="21"/>
        <v>0.37097718584653361</v>
      </c>
      <c r="J32" s="6">
        <f t="shared" si="21"/>
        <v>0.41076000076869124</v>
      </c>
      <c r="K32" s="6">
        <f t="shared" si="21"/>
        <v>0.44118765639110574</v>
      </c>
      <c r="L32" s="6">
        <f t="shared" si="21"/>
        <v>0.46521285948907742</v>
      </c>
      <c r="M32" s="6">
        <f>M31/M23</f>
        <v>0.49966209838606451</v>
      </c>
      <c r="N32" s="6">
        <f>N31/N23</f>
        <v>0.49966209838606451</v>
      </c>
      <c r="O32" s="6">
        <f>O31/O23</f>
        <v>0.49966209838606451</v>
      </c>
      <c r="P32" s="6">
        <f>P31/P23</f>
        <v>0.49966209838606457</v>
      </c>
      <c r="Q32" s="6">
        <f>Q31/Q23</f>
        <v>0.49966209838606446</v>
      </c>
      <c r="R32" s="6">
        <f>R31/R23</f>
        <v>0.49966209838606457</v>
      </c>
      <c r="S32" s="6">
        <f t="shared" si="21"/>
        <v>0.49966209838606457</v>
      </c>
    </row>
    <row r="33" spans="1:19" x14ac:dyDescent="0.25">
      <c r="A33" s="10" t="s">
        <v>27</v>
      </c>
      <c r="B33" s="10" t="s">
        <v>56</v>
      </c>
      <c r="C33" s="4"/>
      <c r="D33" s="5">
        <f>D25-D28-D29-D30</f>
        <v>418.92733844556295</v>
      </c>
      <c r="E33" s="5">
        <f t="shared" ref="E33:S33" si="22">E25-E28-E29-E30</f>
        <v>423.47271654674051</v>
      </c>
      <c r="F33" s="5">
        <f t="shared" si="22"/>
        <v>438.62397688399909</v>
      </c>
      <c r="G33" s="5">
        <f t="shared" si="22"/>
        <v>460.2686345086542</v>
      </c>
      <c r="H33" s="5">
        <f t="shared" si="22"/>
        <v>492.73562094563687</v>
      </c>
      <c r="I33" s="5">
        <f t="shared" si="22"/>
        <v>536.02493619494714</v>
      </c>
      <c r="J33" s="5">
        <f t="shared" si="22"/>
        <v>579.31425144425737</v>
      </c>
      <c r="K33" s="5">
        <f t="shared" si="22"/>
        <v>622.60356669356759</v>
      </c>
      <c r="L33" s="5">
        <f t="shared" si="22"/>
        <v>665.89288194287781</v>
      </c>
      <c r="M33" s="5">
        <f t="shared" si="22"/>
        <v>754.08677010695089</v>
      </c>
      <c r="N33" s="5">
        <f t="shared" si="22"/>
        <v>950.71956544122759</v>
      </c>
      <c r="O33" s="5">
        <f t="shared" si="22"/>
        <v>1180.1244933312169</v>
      </c>
      <c r="P33" s="5">
        <f t="shared" si="22"/>
        <v>1638.9343491111956</v>
      </c>
      <c r="Q33" s="5">
        <f t="shared" si="22"/>
        <v>2294.3770002254514</v>
      </c>
      <c r="R33" s="5">
        <f t="shared" si="22"/>
        <v>2949.8196513397065</v>
      </c>
      <c r="S33" s="5">
        <f t="shared" si="22"/>
        <v>23202.669849444643</v>
      </c>
    </row>
    <row r="35" spans="1:19" x14ac:dyDescent="0.25">
      <c r="A35" t="s">
        <v>61</v>
      </c>
    </row>
  </sheetData>
  <mergeCells count="1">
    <mergeCell ref="A1:B1"/>
  </mergeCells>
  <hyperlinks>
    <hyperlink ref="E1" r:id="rId1" display="GPM planas"/>
    <hyperlink ref="V7" r:id="rId2" display="http://finmin.lrv.lt/lt/aktualus-valstybes-finansu-duomenys/ekonomines-raidos-scenarijus"/>
  </hyperlinks>
  <pageMargins left="0.7" right="0.7" top="0.75" bottom="0.75" header="0.3" footer="0.3"/>
  <pageSetup orientation="portrait" r:id="rId3"/>
  <ignoredErrors>
    <ignoredError sqref="D26:S26" formula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C36" sqref="C36"/>
    </sheetView>
  </sheetViews>
  <sheetFormatPr defaultRowHeight="15" x14ac:dyDescent="0.25"/>
  <sheetData>
    <row r="1" spans="1:6" x14ac:dyDescent="0.25">
      <c r="B1" s="12" t="s">
        <v>29</v>
      </c>
      <c r="C1" s="12" t="s">
        <v>30</v>
      </c>
    </row>
    <row r="2" spans="1:6" x14ac:dyDescent="0.25">
      <c r="A2" s="13">
        <v>380</v>
      </c>
      <c r="B2" s="13" t="s">
        <v>31</v>
      </c>
      <c r="C2" s="14">
        <v>269.35000000000002</v>
      </c>
      <c r="D2">
        <f>C2/1000</f>
        <v>0.26935000000000003</v>
      </c>
    </row>
    <row r="3" spans="1:6" x14ac:dyDescent="0.25">
      <c r="A3" s="13">
        <v>390.5</v>
      </c>
      <c r="B3" s="13" t="s">
        <v>32</v>
      </c>
      <c r="C3" s="14">
        <v>36.06</v>
      </c>
      <c r="D3">
        <f t="shared" ref="D3:D17" si="0">C3/1000</f>
        <v>3.6060000000000002E-2</v>
      </c>
      <c r="E3" s="14"/>
      <c r="F3" s="14"/>
    </row>
    <row r="4" spans="1:6" x14ac:dyDescent="0.25">
      <c r="A4" s="13">
        <v>425.5</v>
      </c>
      <c r="B4" s="13" t="s">
        <v>33</v>
      </c>
      <c r="C4" s="14">
        <v>69.37</v>
      </c>
      <c r="D4">
        <f t="shared" si="0"/>
        <v>6.9370000000000001E-2</v>
      </c>
      <c r="E4" s="14"/>
      <c r="F4" s="14"/>
    </row>
    <row r="5" spans="1:6" x14ac:dyDescent="0.25">
      <c r="A5" s="13">
        <v>475.5</v>
      </c>
      <c r="B5" s="13" t="s">
        <v>34</v>
      </c>
      <c r="C5" s="14">
        <v>84.5</v>
      </c>
      <c r="D5">
        <f t="shared" si="0"/>
        <v>8.4500000000000006E-2</v>
      </c>
      <c r="E5" s="14"/>
      <c r="F5" s="14"/>
    </row>
    <row r="6" spans="1:6" x14ac:dyDescent="0.25">
      <c r="A6" s="13">
        <v>550.5</v>
      </c>
      <c r="B6" s="13" t="s">
        <v>35</v>
      </c>
      <c r="C6" s="14">
        <v>122.22</v>
      </c>
      <c r="D6">
        <f t="shared" si="0"/>
        <v>0.12222</v>
      </c>
      <c r="E6" s="14"/>
      <c r="F6" s="14"/>
    </row>
    <row r="7" spans="1:6" x14ac:dyDescent="0.25">
      <c r="A7" s="13">
        <v>650.5</v>
      </c>
      <c r="B7" s="13" t="s">
        <v>36</v>
      </c>
      <c r="C7" s="14">
        <v>99.45</v>
      </c>
      <c r="D7">
        <f t="shared" si="0"/>
        <v>9.9449999999999997E-2</v>
      </c>
      <c r="E7" s="14"/>
      <c r="F7" s="14"/>
    </row>
    <row r="8" spans="1:6" x14ac:dyDescent="0.25">
      <c r="A8" s="13">
        <v>750.5</v>
      </c>
      <c r="B8" s="13" t="s">
        <v>37</v>
      </c>
      <c r="C8" s="14">
        <v>86.78</v>
      </c>
      <c r="D8">
        <f t="shared" si="0"/>
        <v>8.6779999999999996E-2</v>
      </c>
      <c r="E8" s="14"/>
      <c r="F8" s="14"/>
    </row>
    <row r="9" spans="1:6" x14ac:dyDescent="0.25">
      <c r="A9" s="13">
        <v>850.5</v>
      </c>
      <c r="B9" s="13" t="s">
        <v>38</v>
      </c>
      <c r="C9" s="14">
        <v>67.05</v>
      </c>
      <c r="D9">
        <f t="shared" si="0"/>
        <v>6.7049999999999998E-2</v>
      </c>
      <c r="E9" s="14"/>
      <c r="F9" s="14"/>
    </row>
    <row r="10" spans="1:6" x14ac:dyDescent="0.25">
      <c r="A10" s="13">
        <v>950.5</v>
      </c>
      <c r="B10" s="13" t="s">
        <v>39</v>
      </c>
      <c r="C10" s="14">
        <v>55.35</v>
      </c>
      <c r="D10">
        <f t="shared" si="0"/>
        <v>5.5350000000000003E-2</v>
      </c>
      <c r="E10" s="14"/>
      <c r="F10" s="14"/>
    </row>
    <row r="11" spans="1:6" x14ac:dyDescent="0.25">
      <c r="A11" s="13">
        <v>1150.5</v>
      </c>
      <c r="B11" s="13" t="s">
        <v>40</v>
      </c>
      <c r="C11" s="14">
        <v>96.17</v>
      </c>
      <c r="D11">
        <f t="shared" si="0"/>
        <v>9.6170000000000005E-2</v>
      </c>
      <c r="E11" s="14"/>
      <c r="F11" s="14"/>
    </row>
    <row r="12" spans="1:6" x14ac:dyDescent="0.25">
      <c r="A12" s="13">
        <v>1450.5</v>
      </c>
      <c r="B12" s="13" t="s">
        <v>41</v>
      </c>
      <c r="C12" s="14">
        <v>47.81</v>
      </c>
      <c r="D12">
        <f t="shared" si="0"/>
        <v>4.7810000000000005E-2</v>
      </c>
      <c r="E12" s="14"/>
      <c r="F12" s="14"/>
    </row>
    <row r="13" spans="1:6" x14ac:dyDescent="0.25">
      <c r="A13" s="13">
        <v>1800.5</v>
      </c>
      <c r="B13" s="13" t="s">
        <v>42</v>
      </c>
      <c r="C13" s="14">
        <v>29.87</v>
      </c>
      <c r="D13">
        <f t="shared" si="0"/>
        <v>2.9870000000000001E-2</v>
      </c>
      <c r="E13" s="14"/>
      <c r="F13" s="14"/>
    </row>
    <row r="14" spans="1:6" x14ac:dyDescent="0.25">
      <c r="A14" s="13">
        <v>2500.5</v>
      </c>
      <c r="B14" s="13" t="s">
        <v>43</v>
      </c>
      <c r="C14" s="14">
        <v>25.83</v>
      </c>
      <c r="D14">
        <f t="shared" si="0"/>
        <v>2.5829999999999999E-2</v>
      </c>
      <c r="E14" s="14"/>
      <c r="F14" s="14"/>
    </row>
    <row r="15" spans="1:6" x14ac:dyDescent="0.25">
      <c r="A15" s="13">
        <v>3500.5</v>
      </c>
      <c r="B15" s="13" t="s">
        <v>44</v>
      </c>
      <c r="C15" s="14">
        <v>7.32</v>
      </c>
      <c r="D15">
        <f t="shared" si="0"/>
        <v>7.3200000000000001E-3</v>
      </c>
      <c r="E15" s="14"/>
      <c r="F15" s="14"/>
    </row>
    <row r="16" spans="1:6" x14ac:dyDescent="0.25">
      <c r="A16" s="13">
        <v>4500.5</v>
      </c>
      <c r="B16" s="13" t="s">
        <v>45</v>
      </c>
      <c r="C16" s="14">
        <v>2.7</v>
      </c>
      <c r="D16">
        <f t="shared" si="0"/>
        <v>2.7000000000000001E-3</v>
      </c>
      <c r="E16" s="14"/>
      <c r="F16" s="14"/>
    </row>
    <row r="17" spans="1:4" x14ac:dyDescent="0.25">
      <c r="A17" s="13">
        <v>5000</v>
      </c>
      <c r="B17" s="13" t="s">
        <v>46</v>
      </c>
      <c r="C17" s="14">
        <v>3.05</v>
      </c>
      <c r="D17">
        <f t="shared" si="0"/>
        <v>3.0499999999999998E-3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Skaičiuoklė</vt:lpstr>
      <vt:lpstr>SODRA</vt:lpstr>
      <vt:lpstr>T_all_new</vt:lpstr>
      <vt:lpstr>T_all_old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Justas Mundeikis</dc:creator>
  <cp:lastModifiedBy>Justas Mundeikis</cp:lastModifiedBy>
  <dcterms:created xsi:type="dcterms:W3CDTF">2016-10-01T09:53:28Z</dcterms:created>
  <dcterms:modified xsi:type="dcterms:W3CDTF">2016-10-03T09:21:30Z</dcterms:modified>
</cp:coreProperties>
</file>
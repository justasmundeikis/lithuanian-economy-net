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24226"/>
  <mc:AlternateContent xmlns:mc="http://schemas.openxmlformats.org/markup-compatibility/2006">
    <mc:Choice Requires="x15">
      <x15ac:absPath xmlns:x15ac="http://schemas.microsoft.com/office/spreadsheetml/2010/11/ac" url="\\VBOXSVR\Dropbox\mokinių_diena\"/>
    </mc:Choice>
  </mc:AlternateContent>
  <xr:revisionPtr revIDLastSave="0" documentId="12_ncr:500000_{C3C4A893-E142-4C09-AF32-3DF9C4A6A40E}" xr6:coauthVersionLast="31" xr6:coauthVersionMax="31" xr10:uidLastSave="{00000000-0000-0000-0000-000000000000}"/>
  <bookViews>
    <workbookView xWindow="0" yWindow="90" windowWidth="1980" windowHeight="1125" xr2:uid="{00000000-000D-0000-FFFF-FFFF00000000}"/>
  </bookViews>
  <sheets>
    <sheet name="Pagal atskirą kodą 2" sheetId="1" r:id="rId1"/>
    <sheet name="Macro1" sheetId="2" state="veryHidden" r:id="rId2"/>
  </sheets>
  <definedNames>
    <definedName name="_xlnm._FilterDatabase" localSheetId="0" hidden="1">'Pagal atskirą kodą 2'!$A$2:$J$435</definedName>
    <definedName name="Macro1">Macro1!$A$137</definedName>
    <definedName name="Macro2">Macro1!$A$1</definedName>
    <definedName name="Macro3">Macro1!$A$8</definedName>
    <definedName name="Macro4">Macro1!$A$15</definedName>
    <definedName name="Macro5">Macro1!$A$22</definedName>
    <definedName name="Macro6">Macro1!$A$29</definedName>
    <definedName name="Macro7">Macro1!$A$36</definedName>
    <definedName name="Macro8">Macro1!$A$43</definedName>
    <definedName name="Recover">Macro1!$A$133</definedName>
    <definedName name="TableName">"Dummy"</definedName>
  </definedNames>
  <calcPr calcId="145621"/>
</workbook>
</file>

<file path=xl/sharedStrings.xml><?xml version="1.0" encoding="utf-8"?>
<sst xmlns="http://schemas.openxmlformats.org/spreadsheetml/2006/main" count="890" uniqueCount="884">
  <si>
    <t>2015</t>
  </si>
  <si>
    <t>2016</t>
  </si>
  <si>
    <t>2017</t>
  </si>
  <si>
    <t>2018</t>
  </si>
  <si>
    <t>Apdraustų asmenų skaičius</t>
  </si>
  <si>
    <t>Vidutinės mėn. pajamos ( Eur)</t>
  </si>
  <si>
    <t>PK kodas</t>
  </si>
  <si>
    <t>Pogrupis</t>
  </si>
  <si>
    <t>1111</t>
  </si>
  <si>
    <t>Teisės aktų leidėjai</t>
  </si>
  <si>
    <t>1112</t>
  </si>
  <si>
    <t>Vyresnieji valstybės tarnautojai</t>
  </si>
  <si>
    <t>1113</t>
  </si>
  <si>
    <t>Seniūnai</t>
  </si>
  <si>
    <t>1114</t>
  </si>
  <si>
    <t>Specialios paskirties organizacijų vadovai</t>
  </si>
  <si>
    <t>1120</t>
  </si>
  <si>
    <t>Įmonių, įstaigų ir organizacijų vadovai</t>
  </si>
  <si>
    <t>1211</t>
  </si>
  <si>
    <t>Finansų srities vadovai</t>
  </si>
  <si>
    <t>1212</t>
  </si>
  <si>
    <t>Žmogiškųjų išteklių srities vadovai</t>
  </si>
  <si>
    <t>1213</t>
  </si>
  <si>
    <t>Politikos ir planavimo srities vadovai</t>
  </si>
  <si>
    <t>1219</t>
  </si>
  <si>
    <t>Kitur nepriskirti verslo paslaugų srities ir administracijos vadovai</t>
  </si>
  <si>
    <t>1221</t>
  </si>
  <si>
    <t>Pardavimo ir rinkodaros vadovai</t>
  </si>
  <si>
    <t>1222</t>
  </si>
  <si>
    <t>Reklamos ir viešųjų ryšių srities vadovai</t>
  </si>
  <si>
    <t>1223</t>
  </si>
  <si>
    <t>Mokslinių tyrimų ir plėtros vadovai</t>
  </si>
  <si>
    <t>1311</t>
  </si>
  <si>
    <t>Žemės ir miškų ūkio produkcijos gamybos vadovai</t>
  </si>
  <si>
    <t>1312</t>
  </si>
  <si>
    <t>Akvakultūros ir žuvininkystės ūkio produkcijos gamybos vadovai</t>
  </si>
  <si>
    <t>1321</t>
  </si>
  <si>
    <t>Gamybos vadovai</t>
  </si>
  <si>
    <t>1322</t>
  </si>
  <si>
    <t>Gavybos vadovai</t>
  </si>
  <si>
    <t>1323</t>
  </si>
  <si>
    <t>Statybos vadovai</t>
  </si>
  <si>
    <t>1324</t>
  </si>
  <si>
    <t>Tiekimo, platinimo ir panašių paslaugų vadovai</t>
  </si>
  <si>
    <t>1330</t>
  </si>
  <si>
    <t>Informacinių technologijų ir ryšių paslaugų srities vadovai</t>
  </si>
  <si>
    <t>1341</t>
  </si>
  <si>
    <t>Vaikų priežiūros paslaugų srities vadovai</t>
  </si>
  <si>
    <t>1342</t>
  </si>
  <si>
    <t>Sveikatinimo paslaugų srities vadovai</t>
  </si>
  <si>
    <t>1343</t>
  </si>
  <si>
    <t>Pagyvenusių žmonių slaugos ir socialinių paslaugų srities vadovai</t>
  </si>
  <si>
    <t>1344</t>
  </si>
  <si>
    <t>Socialinės paramos vadovai</t>
  </si>
  <si>
    <t>1345</t>
  </si>
  <si>
    <t>Švietimo srities vadovai</t>
  </si>
  <si>
    <t>1346</t>
  </si>
  <si>
    <t>Finansinių ir draudimo paslaugų padalinių vadovai</t>
  </si>
  <si>
    <t>1349</t>
  </si>
  <si>
    <t>Kitur nepriskirti profesionaliųjų paslaugų srities vadovai</t>
  </si>
  <si>
    <t>1411</t>
  </si>
  <si>
    <t>Viešbučių vadovai</t>
  </si>
  <si>
    <t>1412</t>
  </si>
  <si>
    <t>Restoranų vadovai</t>
  </si>
  <si>
    <t>1420</t>
  </si>
  <si>
    <t>Mažmeninės ir didmeninės prekybos vadovai</t>
  </si>
  <si>
    <t>1431</t>
  </si>
  <si>
    <t>Sporto, laisvalaikio ir kultūros įstaigų vadovai</t>
  </si>
  <si>
    <t>1439</t>
  </si>
  <si>
    <t>Kitur nepriskirti paslaugų srities vadovai</t>
  </si>
  <si>
    <t>2111</t>
  </si>
  <si>
    <t>Fizikai ir astronomai</t>
  </si>
  <si>
    <t>2112</t>
  </si>
  <si>
    <t>Meteorologai</t>
  </si>
  <si>
    <t>2113</t>
  </si>
  <si>
    <t>Chemikai</t>
  </si>
  <si>
    <t>2114</t>
  </si>
  <si>
    <t>Geologai ir geofizikai</t>
  </si>
  <si>
    <t>2120</t>
  </si>
  <si>
    <t>Matematikai, aktuarai ir statistikai</t>
  </si>
  <si>
    <t>2131</t>
  </si>
  <si>
    <t>Biologai, botanikai, zoologai ir giminiškų profesijų specialistai</t>
  </si>
  <si>
    <t>2132</t>
  </si>
  <si>
    <t>Žemės ir miškų ūkio bei žuvininkystės specialistai</t>
  </si>
  <si>
    <t>2133</t>
  </si>
  <si>
    <t>Aplinkos apsaugos specialistai</t>
  </si>
  <si>
    <t>2141</t>
  </si>
  <si>
    <t>Technologijų ir gamybos inžinieriai</t>
  </si>
  <si>
    <t>2142</t>
  </si>
  <si>
    <t>Statybos inžinieriai</t>
  </si>
  <si>
    <t>2143</t>
  </si>
  <si>
    <t>Ekologijos inžinieriai</t>
  </si>
  <si>
    <t>2144</t>
  </si>
  <si>
    <t>Mechanikos inžinieriai</t>
  </si>
  <si>
    <t>2145</t>
  </si>
  <si>
    <t>Chemijos inžinieriai</t>
  </si>
  <si>
    <t>2146</t>
  </si>
  <si>
    <t>Gavybos inžinieriai, metalurgai ir giminiškų profesijų specialistai</t>
  </si>
  <si>
    <t>2149</t>
  </si>
  <si>
    <t>Kitur nepriskirti inžinerijos specialistai</t>
  </si>
  <si>
    <t>2151</t>
  </si>
  <si>
    <t>Elektros inžinieriai</t>
  </si>
  <si>
    <t>2152</t>
  </si>
  <si>
    <t>Elektronikos inžinieriai</t>
  </si>
  <si>
    <t>2153</t>
  </si>
  <si>
    <t>Telekomunikacijų inžinieriai</t>
  </si>
  <si>
    <t>2161</t>
  </si>
  <si>
    <t>Statybos architektai</t>
  </si>
  <si>
    <t>2162</t>
  </si>
  <si>
    <t>Kraštovaizdžio architektai</t>
  </si>
  <si>
    <t>2163</t>
  </si>
  <si>
    <t>Produktų ir drabužių dizaineriai</t>
  </si>
  <si>
    <t>2164</t>
  </si>
  <si>
    <t>Miestų ir kelių eismo planuotojai</t>
  </si>
  <si>
    <t>2165</t>
  </si>
  <si>
    <t>Kartografai ir topografai</t>
  </si>
  <si>
    <t>2166</t>
  </si>
  <si>
    <t>Grafikos ir multimedijos dizaineriai</t>
  </si>
  <si>
    <t>2211</t>
  </si>
  <si>
    <t>Bendrosios praktikos gydytojai</t>
  </si>
  <si>
    <t>2212</t>
  </si>
  <si>
    <t>Gydytojai specialistai</t>
  </si>
  <si>
    <t>2221</t>
  </si>
  <si>
    <t>Slaugos specialistai</t>
  </si>
  <si>
    <t>2222</t>
  </si>
  <si>
    <t>Akušerijos specialistai</t>
  </si>
  <si>
    <t>2230</t>
  </si>
  <si>
    <t>Tradicinės ir liaudies medicinos specialistai</t>
  </si>
  <si>
    <t>2240</t>
  </si>
  <si>
    <t>Paramedikai</t>
  </si>
  <si>
    <t>2250</t>
  </si>
  <si>
    <t>Veterinarai</t>
  </si>
  <si>
    <t>2261</t>
  </si>
  <si>
    <t>Gydytojai odontologai</t>
  </si>
  <si>
    <t>2262</t>
  </si>
  <si>
    <t>Vaistininkai</t>
  </si>
  <si>
    <t>2263</t>
  </si>
  <si>
    <t>Aplinkos, profesinės sveikatos ir higienos specialistai</t>
  </si>
  <si>
    <t>2264</t>
  </si>
  <si>
    <t>Fizioterapeutai</t>
  </si>
  <si>
    <t>2265</t>
  </si>
  <si>
    <t>Dietistai ir mitybos specialistai</t>
  </si>
  <si>
    <t>2266</t>
  </si>
  <si>
    <t>Audiologai ir kalbos terapeutai</t>
  </si>
  <si>
    <t>2267</t>
  </si>
  <si>
    <t>Optometrijos specialistai ir optikai</t>
  </si>
  <si>
    <t>2269</t>
  </si>
  <si>
    <t>Kitur nepriskirti sveikatos specialistai</t>
  </si>
  <si>
    <t>2310</t>
  </si>
  <si>
    <t>Aukštųjų mokyklų dėstytojai</t>
  </si>
  <si>
    <t>2320</t>
  </si>
  <si>
    <t>Profesijos mokytojai</t>
  </si>
  <si>
    <t>2330</t>
  </si>
  <si>
    <t>Pagrindinio ir vidurinio ugdymo mokytojai</t>
  </si>
  <si>
    <t>2341</t>
  </si>
  <si>
    <t>Pradinio ugdymo mokytojai</t>
  </si>
  <si>
    <t>2342</t>
  </si>
  <si>
    <t>Ikimokyklinio ugdymo mokytojai</t>
  </si>
  <si>
    <t>2351</t>
  </si>
  <si>
    <t>Švietimo metodų specialistai</t>
  </si>
  <si>
    <t>2352</t>
  </si>
  <si>
    <t>Specialiųjų poreikių mokinių mokytojai</t>
  </si>
  <si>
    <t>2353</t>
  </si>
  <si>
    <t>Neformaliojo švietimo kalbų mokytojai</t>
  </si>
  <si>
    <t>2354</t>
  </si>
  <si>
    <t>Neformaliojo švietimo muzikos mokytojai</t>
  </si>
  <si>
    <t>2355</t>
  </si>
  <si>
    <t>Neformaliojo švietimo meninio ugdymo mokytojai</t>
  </si>
  <si>
    <t>2356</t>
  </si>
  <si>
    <t>Neformaliojo švietimo informacinių technologijų praktikos mokytojai</t>
  </si>
  <si>
    <t>2359</t>
  </si>
  <si>
    <t>Kitur nepriskirti mokymo specialistai</t>
  </si>
  <si>
    <t>2411</t>
  </si>
  <si>
    <t>Buhalteriai</t>
  </si>
  <si>
    <t>2412</t>
  </si>
  <si>
    <t>Finansų ir investicijų konsultantai</t>
  </si>
  <si>
    <t>2413</t>
  </si>
  <si>
    <t>Finansų analitikai</t>
  </si>
  <si>
    <t>2421</t>
  </si>
  <si>
    <t>Vadybos ir organizavimo analitikai</t>
  </si>
  <si>
    <t>2422</t>
  </si>
  <si>
    <t>Politikos ir administravimo specialistai</t>
  </si>
  <si>
    <t>2423</t>
  </si>
  <si>
    <t>Personalo ir profesinio orientavimo specialistai</t>
  </si>
  <si>
    <t>2424</t>
  </si>
  <si>
    <t>Mokymo ir darbuotojų ugdymo specialistai</t>
  </si>
  <si>
    <t>2431</t>
  </si>
  <si>
    <t>Reklamos ir rinkodaros specialistai</t>
  </si>
  <si>
    <t>2432</t>
  </si>
  <si>
    <t>Viešųjų ryšių specialistai</t>
  </si>
  <si>
    <t>2433</t>
  </si>
  <si>
    <t xml:space="preserve">Technikos ir medicinos sričių pardavimo (išskyrus informacinių technologijų ir ryšių paslaugų pardavimą) specialistai </t>
  </si>
  <si>
    <t>2434</t>
  </si>
  <si>
    <t>Informacinių technologijų ir ryšių paslaugų pardavimo specialistai</t>
  </si>
  <si>
    <t>2511</t>
  </si>
  <si>
    <t>Sistemų analitikai</t>
  </si>
  <si>
    <t>2512</t>
  </si>
  <si>
    <t>Programinės įrangos kūrėjai</t>
  </si>
  <si>
    <t>2513</t>
  </si>
  <si>
    <t>Saityno ir multimedijos kūrėjai</t>
  </si>
  <si>
    <t>2514</t>
  </si>
  <si>
    <t>Taikomųjų programų kūrėjai</t>
  </si>
  <si>
    <t>2519</t>
  </si>
  <si>
    <t>Kitur nepriskirti programinės įrangos ir taikomųjų programų kūrėjai ir analitikai</t>
  </si>
  <si>
    <t>2521</t>
  </si>
  <si>
    <t>Duomenų bazių projektuotojai ir administratoriai</t>
  </si>
  <si>
    <t>2522</t>
  </si>
  <si>
    <t>Sistemų administratoriai</t>
  </si>
  <si>
    <t>2523</t>
  </si>
  <si>
    <t>Kompiuterių tinklų specialistai</t>
  </si>
  <si>
    <t>2529</t>
  </si>
  <si>
    <t>Kitur nepriskirti duomenų bazių ir tinklų specialistai</t>
  </si>
  <si>
    <t>2611</t>
  </si>
  <si>
    <t>Teisininkai</t>
  </si>
  <si>
    <t>2612</t>
  </si>
  <si>
    <t>Teisėjai</t>
  </si>
  <si>
    <t>2619</t>
  </si>
  <si>
    <t>Kitur nepriskirti teisės specialistai</t>
  </si>
  <si>
    <t>2621</t>
  </si>
  <si>
    <t>Archyvų ir muziejų specialistai</t>
  </si>
  <si>
    <t>2622</t>
  </si>
  <si>
    <t>Bibliotekininkai ir kiti informacijos specialistai</t>
  </si>
  <si>
    <t>2631</t>
  </si>
  <si>
    <t>Ekonomistai</t>
  </si>
  <si>
    <t>2632</t>
  </si>
  <si>
    <t>Sociologai, antropologai ir giminiškų profesijų specialistai</t>
  </si>
  <si>
    <t>2633</t>
  </si>
  <si>
    <t>Filosofai, istorikai ir politologai</t>
  </si>
  <si>
    <t>2634</t>
  </si>
  <si>
    <t>Psichologai</t>
  </si>
  <si>
    <t>2635</t>
  </si>
  <si>
    <t>Socialiniai darbuotojai ir konsultantai</t>
  </si>
  <si>
    <t>2636</t>
  </si>
  <si>
    <t>Religijų specialistai</t>
  </si>
  <si>
    <t>2641</t>
  </si>
  <si>
    <t>Autoriai ir kiti rašytojai</t>
  </si>
  <si>
    <t>2642</t>
  </si>
  <si>
    <t>Žurnalistai</t>
  </si>
  <si>
    <t>2643</t>
  </si>
  <si>
    <t>Vertėjai ir kalbininkai</t>
  </si>
  <si>
    <t>2651</t>
  </si>
  <si>
    <t>Regimojo meno kūrėjai ir atlikėjai</t>
  </si>
  <si>
    <t>2652</t>
  </si>
  <si>
    <t>Muzikantai, dainininkai ir kompozitoriai</t>
  </si>
  <si>
    <t>2653</t>
  </si>
  <si>
    <t>Šokėjai ir choreografai</t>
  </si>
  <si>
    <t>2654</t>
  </si>
  <si>
    <t>Kino, teatro ir panašių sričių režisieriai ir prodiuseriai</t>
  </si>
  <si>
    <t>2655</t>
  </si>
  <si>
    <t>Aktoriai</t>
  </si>
  <si>
    <t>2656</t>
  </si>
  <si>
    <t>Radijo, televizijos ir kitų informacijos sklaidos priemonių diktoriai</t>
  </si>
  <si>
    <t>2659</t>
  </si>
  <si>
    <t>Kitur nepriskirti kūrybiniai darbuotojai ir atlikėjai</t>
  </si>
  <si>
    <t>3111</t>
  </si>
  <si>
    <t>Chemijos ir kitų fizinių mokslų technikai</t>
  </si>
  <si>
    <t>3112</t>
  </si>
  <si>
    <t>Statybos inžinerijos technikai</t>
  </si>
  <si>
    <t>3113</t>
  </si>
  <si>
    <t>Elektros inžinerijos technikai</t>
  </si>
  <si>
    <t>3114</t>
  </si>
  <si>
    <t>Elektronikos inžinerijos technikai</t>
  </si>
  <si>
    <t>3115</t>
  </si>
  <si>
    <t>Mechanikos inžinerijos technikai</t>
  </si>
  <si>
    <t>3116</t>
  </si>
  <si>
    <t>Cheminės inžinerijos technikai</t>
  </si>
  <si>
    <t>3117</t>
  </si>
  <si>
    <t>Gavybos ir metalurgijos technikai</t>
  </si>
  <si>
    <t>3118</t>
  </si>
  <si>
    <t>Braižytojai</t>
  </si>
  <si>
    <t>3119</t>
  </si>
  <si>
    <t>Kitur nepriskirti fizinių mokslų ir inžinerijos technikai</t>
  </si>
  <si>
    <t>3121</t>
  </si>
  <si>
    <t>Gavybos darbų meistrai ir brigadininkai</t>
  </si>
  <si>
    <t>3122</t>
  </si>
  <si>
    <t>Gamybos darbų meistrai ir brigadininkai</t>
  </si>
  <si>
    <t>3123</t>
  </si>
  <si>
    <t>Statybos darbų meistrai ir brigadininkai</t>
  </si>
  <si>
    <t>3131</t>
  </si>
  <si>
    <t>Elektrinių operatoriai</t>
  </si>
  <si>
    <t>3132</t>
  </si>
  <si>
    <t>Atliekų deginimo ir vandens valymo įrenginių operatoriai</t>
  </si>
  <si>
    <t>3133</t>
  </si>
  <si>
    <t>Cheminio apdorojimo įrenginių valdymo operatoriai</t>
  </si>
  <si>
    <t>3134</t>
  </si>
  <si>
    <t>Naftos ir gamtinių dujų perdirbimo įrenginių operatoriai</t>
  </si>
  <si>
    <t>3135</t>
  </si>
  <si>
    <t>Metalurgijos technologinių procesų valdymo įrangos operatoriai</t>
  </si>
  <si>
    <t>3139</t>
  </si>
  <si>
    <t>Kitur nepriskirti technologinių procesų valdymo technikai</t>
  </si>
  <si>
    <t>3141</t>
  </si>
  <si>
    <t>Gyvosios gamtos mokslų technikai (išskyrus medicinos ir patologijos laboratorijų technikus)</t>
  </si>
  <si>
    <t>3142</t>
  </si>
  <si>
    <t>Žemės ūkio technikai</t>
  </si>
  <si>
    <t>3143</t>
  </si>
  <si>
    <t>Jaunesnieji miškų ūkio specialistai</t>
  </si>
  <si>
    <t>3151</t>
  </si>
  <si>
    <t>Laivų mechanikai</t>
  </si>
  <si>
    <t>3152</t>
  </si>
  <si>
    <t>Laivavedžiai ir laivų kapitonai</t>
  </si>
  <si>
    <t>3153</t>
  </si>
  <si>
    <t>Orlaivių pilotai ir kiti giminiškų profesijų specialistai</t>
  </si>
  <si>
    <t>3154</t>
  </si>
  <si>
    <t>Skrydžių vadovai</t>
  </si>
  <si>
    <t>3155</t>
  </si>
  <si>
    <t>Skrydžių saugos elektronikos technikai</t>
  </si>
  <si>
    <t>3211</t>
  </si>
  <si>
    <t>Medicininio vizualizavimo ir medicininės įrangos technikai</t>
  </si>
  <si>
    <t>3212</t>
  </si>
  <si>
    <t>Medicinos ir patologijos laboratorijų technikai</t>
  </si>
  <si>
    <t>3213</t>
  </si>
  <si>
    <t>Farmacijos technikai ir vaistininkų padėjėjai</t>
  </si>
  <si>
    <t>3214</t>
  </si>
  <si>
    <t>Medicinos ir dantų technikai</t>
  </si>
  <si>
    <t>3221</t>
  </si>
  <si>
    <t>Jaunesnieji slaugos specialistai</t>
  </si>
  <si>
    <t>3222</t>
  </si>
  <si>
    <t>Jaunesnieji akušerijos specialistai</t>
  </si>
  <si>
    <t>3230</t>
  </si>
  <si>
    <t>Jaunesnieji tradicinės ir liaudies medicinos specialistai</t>
  </si>
  <si>
    <t>3240</t>
  </si>
  <si>
    <t>Veterinarijos technikai ir felčeriai</t>
  </si>
  <si>
    <t>3251</t>
  </si>
  <si>
    <t>Gydytojo odontologo padėjėjai ir burnos higienistai</t>
  </si>
  <si>
    <t>3252</t>
  </si>
  <si>
    <t>Medicininių įrašų ir sveikatos informacijos technikai</t>
  </si>
  <si>
    <t>3253</t>
  </si>
  <si>
    <t>Visuomenės sveikatos priežiūros darbuotojai</t>
  </si>
  <si>
    <t>3254</t>
  </si>
  <si>
    <t>Optikai</t>
  </si>
  <si>
    <t>3255</t>
  </si>
  <si>
    <t>Fizioterapijos technikai ir fizioterapeutų padėjėjai</t>
  </si>
  <si>
    <t>3256</t>
  </si>
  <si>
    <t>Gydytojo padėjėjai</t>
  </si>
  <si>
    <t>3257</t>
  </si>
  <si>
    <t>Aplinkos ir profesinės sveikatos inspektoriai ir darbuotojai</t>
  </si>
  <si>
    <t>3258</t>
  </si>
  <si>
    <t>Skubiosios medicinos pagalbos darbuotojai</t>
  </si>
  <si>
    <t>3259</t>
  </si>
  <si>
    <t>Kitur nepriskirti jaunesnieji sveikatos specialistai</t>
  </si>
  <si>
    <t>3311</t>
  </si>
  <si>
    <t>Vertybinių popierių ir finansų makleriai ir brokeriai</t>
  </si>
  <si>
    <t>3312</t>
  </si>
  <si>
    <t>Kreditų ir paskolų specialistai</t>
  </si>
  <si>
    <t>3313</t>
  </si>
  <si>
    <t>Jaunesnieji apskaitos specialistai</t>
  </si>
  <si>
    <t>3314</t>
  </si>
  <si>
    <t>Statistikai, matematikai ir jaunesnieji giminiškų profesijų specialistai</t>
  </si>
  <si>
    <t>3315</t>
  </si>
  <si>
    <t>Nuostolių ir kiti vertintojai</t>
  </si>
  <si>
    <t>3321</t>
  </si>
  <si>
    <t>Draudimo agentai</t>
  </si>
  <si>
    <t>3322</t>
  </si>
  <si>
    <t>Pardavimo atstovai</t>
  </si>
  <si>
    <t>3323</t>
  </si>
  <si>
    <t>Pirkimo specialistai</t>
  </si>
  <si>
    <t>3324</t>
  </si>
  <si>
    <t>Prekybos brokeriai</t>
  </si>
  <si>
    <t>3331</t>
  </si>
  <si>
    <t>Muitinės dokumentų tvarkymo ir prekių vežimo agentai</t>
  </si>
  <si>
    <t>3332</t>
  </si>
  <si>
    <t>Konferencijų ir renginių planuotojai</t>
  </si>
  <si>
    <t>3333</t>
  </si>
  <si>
    <t>Įdarbinimo agentai ir darbo sutarčių sudarytojai</t>
  </si>
  <si>
    <t>3334</t>
  </si>
  <si>
    <t>Nekilnojamojo turto agentai ir pardavėjai</t>
  </si>
  <si>
    <t>3339</t>
  </si>
  <si>
    <t>Kitur nepriskirti verslo paslaugų agentai</t>
  </si>
  <si>
    <t>3341</t>
  </si>
  <si>
    <t>Vyresnieji raštinės darbuotojai</t>
  </si>
  <si>
    <t>3342</t>
  </si>
  <si>
    <t>Teisės institucijų sekretoriai</t>
  </si>
  <si>
    <t>3343</t>
  </si>
  <si>
    <t>Administravimo ir vykdomieji sekretoriai</t>
  </si>
  <si>
    <t>3344</t>
  </si>
  <si>
    <t>Medicinos sekretoriai</t>
  </si>
  <si>
    <t>3351</t>
  </si>
  <si>
    <t>Muitinės ir pasienio inspektoriai</t>
  </si>
  <si>
    <t>3352</t>
  </si>
  <si>
    <t>Mokesčių tarnybų jaunesnieji specialistai</t>
  </si>
  <si>
    <t>3353</t>
  </si>
  <si>
    <t>Socialinių išmokų specialistai</t>
  </si>
  <si>
    <t>3354</t>
  </si>
  <si>
    <t>Licencijų išdavimo specialistai</t>
  </si>
  <si>
    <t>3355</t>
  </si>
  <si>
    <t>Policijos specialistai ir tyrėjai</t>
  </si>
  <si>
    <t>3359</t>
  </si>
  <si>
    <t>Kitur nepriskirti jaunesnieji valstybės tarnybų specialistai</t>
  </si>
  <si>
    <t>3411</t>
  </si>
  <si>
    <t>Jaunesnieji teisės ir giminiškų profesijų specialistai</t>
  </si>
  <si>
    <t>3412</t>
  </si>
  <si>
    <t>Jaunesnieji socialiniai darbuotojai</t>
  </si>
  <si>
    <t>3413</t>
  </si>
  <si>
    <t>Jaunesnieji religijos profesijų specialistai</t>
  </si>
  <si>
    <t>3421</t>
  </si>
  <si>
    <t>Sportininkai ir žaidėjai</t>
  </si>
  <si>
    <t>3422</t>
  </si>
  <si>
    <t>Sporto treneriai, instruktoriai ir teisėjai</t>
  </si>
  <si>
    <t>3423</t>
  </si>
  <si>
    <t>Kūno rengybos ir poilsio instruktoriai bei programų vadovai</t>
  </si>
  <si>
    <t>3431</t>
  </si>
  <si>
    <t>Fotografai</t>
  </si>
  <si>
    <t>3432</t>
  </si>
  <si>
    <t>Interjero dizaineriai ir dekoratoriai</t>
  </si>
  <si>
    <t>3433</t>
  </si>
  <si>
    <t>Galerijų, muziejų ir bibliotekų technikai</t>
  </si>
  <si>
    <t>3434</t>
  </si>
  <si>
    <t>Vyriausieji virėjai</t>
  </si>
  <si>
    <t>3435</t>
  </si>
  <si>
    <t>Kiti jaunesnieji meno ir kultūros specialistai</t>
  </si>
  <si>
    <t>3511</t>
  </si>
  <si>
    <t>Informacinių technologijų ir ryšių sistemų eksploatavimo technikai</t>
  </si>
  <si>
    <t>3512</t>
  </si>
  <si>
    <t>Pagalbos informacinių technologijų ir ryšių sistemų naudotojams technikai</t>
  </si>
  <si>
    <t>3513</t>
  </si>
  <si>
    <t>Kompiuterių tinklų ir sistemų technikai</t>
  </si>
  <si>
    <t>3514</t>
  </si>
  <si>
    <t>Saityno technikai</t>
  </si>
  <si>
    <t>3521</t>
  </si>
  <si>
    <t>Transliavimo ir garso bei vaizdo sistemų technikai</t>
  </si>
  <si>
    <t>3522</t>
  </si>
  <si>
    <t>Telekomunikacijų inžinerijos technikai</t>
  </si>
  <si>
    <t>4110</t>
  </si>
  <si>
    <t>Tarnautojai, atliekantys bendras funkcijas</t>
  </si>
  <si>
    <t>4120</t>
  </si>
  <si>
    <t>Sekretoriai, atliekantys bendras funkcijas</t>
  </si>
  <si>
    <t>4131</t>
  </si>
  <si>
    <t>Mašininkai ir tekstų tvarkybos operatoriai</t>
  </si>
  <si>
    <t>4132</t>
  </si>
  <si>
    <t>Duomenų įvesties operatoriai</t>
  </si>
  <si>
    <t>4211</t>
  </si>
  <si>
    <t>Bankų kasininkai ir giminiškų profesijų tarnautojai</t>
  </si>
  <si>
    <t>4212</t>
  </si>
  <si>
    <t>Lažybų tarpininkai, lošimo namų tarnautojai ir panašūs lošimų tarnautojai</t>
  </si>
  <si>
    <t>4213</t>
  </si>
  <si>
    <t>Lombardų tarnautojai ir pinigų skolintojai</t>
  </si>
  <si>
    <t>4214</t>
  </si>
  <si>
    <t>Skolų išieškotojai ir giminiškų profesijų tarnautojai</t>
  </si>
  <si>
    <t>4221</t>
  </si>
  <si>
    <t>Kelionių konsultantai ir tarnautojai</t>
  </si>
  <si>
    <t>4222</t>
  </si>
  <si>
    <t>Nuotolinio klientų informavimo tarnautojai</t>
  </si>
  <si>
    <t>4223</t>
  </si>
  <si>
    <t>Telefonų skirstiklių operatoriai</t>
  </si>
  <si>
    <t>4224</t>
  </si>
  <si>
    <t>Viešbučių registratoriai</t>
  </si>
  <si>
    <t>4225</t>
  </si>
  <si>
    <t>Atsakymų į užklausas ir informavimo tarnautojai</t>
  </si>
  <si>
    <t>4226</t>
  </si>
  <si>
    <t>Klientų priėmimo tarnautojai, atliekantys bendras funkcijas</t>
  </si>
  <si>
    <t>4227</t>
  </si>
  <si>
    <t>Apklausų atlikėjai</t>
  </si>
  <si>
    <t>4229</t>
  </si>
  <si>
    <t>Kitur nepriskirti klientų informavimo tarnautojai</t>
  </si>
  <si>
    <t>4311</t>
  </si>
  <si>
    <t>Apskaitos ir buhalterijos tarnautojai</t>
  </si>
  <si>
    <t>4312</t>
  </si>
  <si>
    <t>Statistikos, finansų ir draudimo tarnautojai</t>
  </si>
  <si>
    <t>4313</t>
  </si>
  <si>
    <t>Darbo užmokesčio apskaitos tarnautojai</t>
  </si>
  <si>
    <t>4321</t>
  </si>
  <si>
    <t>Sandėliavimo tarnybos tarnautojai</t>
  </si>
  <si>
    <t>4322</t>
  </si>
  <si>
    <t>Tiekimo tarnautojai</t>
  </si>
  <si>
    <t>4323</t>
  </si>
  <si>
    <t>Transporto tarnautojai</t>
  </si>
  <si>
    <t>4411</t>
  </si>
  <si>
    <t>Bibliotekų tarnautojai</t>
  </si>
  <si>
    <t>4412</t>
  </si>
  <si>
    <t>Paštininkai ir giminiškų profesijų tarnautojai</t>
  </si>
  <si>
    <t>4413</t>
  </si>
  <si>
    <t>Informacijos kodavimo, korektūros ir kitokios tvarkybos tarnautojai</t>
  </si>
  <si>
    <t>4414</t>
  </si>
  <si>
    <t>Raštininkai ir giminiškų profesijų tarnautojai</t>
  </si>
  <si>
    <t>4415</t>
  </si>
  <si>
    <t>Kartotekų ir kopijavimo tarnautojai</t>
  </si>
  <si>
    <t>4416</t>
  </si>
  <si>
    <t>Darbuotojų informacijos tarnautojai</t>
  </si>
  <si>
    <t>4419</t>
  </si>
  <si>
    <t>Kitur nepriskirti tarnautojai</t>
  </si>
  <si>
    <t>5111</t>
  </si>
  <si>
    <t>Kelionių palydovai</t>
  </si>
  <si>
    <t>5112</t>
  </si>
  <si>
    <t>Transporto priemonių konduktoriai</t>
  </si>
  <si>
    <t>5113</t>
  </si>
  <si>
    <t>Kelionių vadovai</t>
  </si>
  <si>
    <t>5120</t>
  </si>
  <si>
    <t>Virėjai</t>
  </si>
  <si>
    <t>5131</t>
  </si>
  <si>
    <t>Padavėjai</t>
  </si>
  <si>
    <t>5132</t>
  </si>
  <si>
    <t>Barmenai</t>
  </si>
  <si>
    <t>5141</t>
  </si>
  <si>
    <t>Kirpėjai</t>
  </si>
  <si>
    <t>5142</t>
  </si>
  <si>
    <t>Kosmetikai ir giminiškų profesijų darbuotojai</t>
  </si>
  <si>
    <t>5151</t>
  </si>
  <si>
    <t>Vyresnieji biurų, viešbučių ir kitų įstaigų valymo ir bendrosios priežiūros darbuotojai</t>
  </si>
  <si>
    <t>5152</t>
  </si>
  <si>
    <t>Namų ūkio ekonomai</t>
  </si>
  <si>
    <t>5153</t>
  </si>
  <si>
    <t>Pastatų prižiūrėtojai</t>
  </si>
  <si>
    <t>5161</t>
  </si>
  <si>
    <t>Astrologai, būrėjai ir giminiškų profesijų darbuotojai</t>
  </si>
  <si>
    <t>5162</t>
  </si>
  <si>
    <t>Tarnai ir palydovai</t>
  </si>
  <si>
    <t>5163</t>
  </si>
  <si>
    <t>Laidojimo paslaugų darbuotojai</t>
  </si>
  <si>
    <t>5164</t>
  </si>
  <si>
    <t>Gyvūnų (augintinių) higienos ir priežiūros darbuotojai</t>
  </si>
  <si>
    <t>5165</t>
  </si>
  <si>
    <t>Vairavimo instruktoriai</t>
  </si>
  <si>
    <t>5169</t>
  </si>
  <si>
    <t>Kitur nepriskirti paslaugų asmenims darbuotojai</t>
  </si>
  <si>
    <t>5211</t>
  </si>
  <si>
    <t>Kioskų ir turgaviečių pardavėjai</t>
  </si>
  <si>
    <t>5212</t>
  </si>
  <si>
    <t>Maisto produktų gatvės pardavėjai</t>
  </si>
  <si>
    <t>5221</t>
  </si>
  <si>
    <t>Krautuvininkai</t>
  </si>
  <si>
    <t>5222</t>
  </si>
  <si>
    <t>Vyresnieji parduotuvių darbuotojai</t>
  </si>
  <si>
    <t>5223</t>
  </si>
  <si>
    <t>Parduotuvių pardavėjai</t>
  </si>
  <si>
    <t>5230</t>
  </si>
  <si>
    <t>Kasininkai ir bilietų pardavėjai</t>
  </si>
  <si>
    <t>5241</t>
  </si>
  <si>
    <t>Madų ir panašūs demonstruotojai</t>
  </si>
  <si>
    <t>5242</t>
  </si>
  <si>
    <t>Prekių demonstruotojai</t>
  </si>
  <si>
    <t>5243</t>
  </si>
  <si>
    <t>Išnešiojamosios prekybos pardavėjai</t>
  </si>
  <si>
    <t>5244</t>
  </si>
  <si>
    <t>Nuotolinės prekybos pardavėjai</t>
  </si>
  <si>
    <t>5245</t>
  </si>
  <si>
    <t>Degalinių operatoriai</t>
  </si>
  <si>
    <t>5246</t>
  </si>
  <si>
    <t>Maitinimo paslaugų prekystalių pardavėjai</t>
  </si>
  <si>
    <t>5249</t>
  </si>
  <si>
    <t>Kitur nepriskirti pardavėjai</t>
  </si>
  <si>
    <t>5311</t>
  </si>
  <si>
    <t>Vaikų priežiūros darbuotojai</t>
  </si>
  <si>
    <t>5312</t>
  </si>
  <si>
    <t>Mokytojų padėjėjai</t>
  </si>
  <si>
    <t>5321</t>
  </si>
  <si>
    <t>Asmens sveikatos priežiūros padėjėjai</t>
  </si>
  <si>
    <t>5322</t>
  </si>
  <si>
    <t>Asmens priežiūros namuose darbuotojai</t>
  </si>
  <si>
    <t>5329</t>
  </si>
  <si>
    <t>Kitur nepriskirti asmens sveikatos priežiūros darbuotojai</t>
  </si>
  <si>
    <t>5411</t>
  </si>
  <si>
    <t>Ugniagesiai</t>
  </si>
  <si>
    <t>5412</t>
  </si>
  <si>
    <t>Policijos pareigūnai</t>
  </si>
  <si>
    <t>5413</t>
  </si>
  <si>
    <t>Įkalinimo įstaigų sargybiniai</t>
  </si>
  <si>
    <t>5414</t>
  </si>
  <si>
    <t>Apsaugos darbuotojai</t>
  </si>
  <si>
    <t>5419</t>
  </si>
  <si>
    <t>Kitur nepriskirti apsaugos darbuotojai</t>
  </si>
  <si>
    <t>6111</t>
  </si>
  <si>
    <t>Kultūrinių lauko augalų ir daržovių augintojai</t>
  </si>
  <si>
    <t>6112</t>
  </si>
  <si>
    <t>Vaismedžių ir vaiskrūmių augintojai</t>
  </si>
  <si>
    <t>6113</t>
  </si>
  <si>
    <t>Sodininkai, daržininkai, medelynų ir daigynų darbuotojai</t>
  </si>
  <si>
    <t>6114</t>
  </si>
  <si>
    <t>Mišriųjų kultūrinių augalų augintojai</t>
  </si>
  <si>
    <t>6121</t>
  </si>
  <si>
    <t>Gyvulių augintojai</t>
  </si>
  <si>
    <t>6122</t>
  </si>
  <si>
    <t>Paukščių augintojai</t>
  </si>
  <si>
    <t>6123</t>
  </si>
  <si>
    <t>Bitininkai</t>
  </si>
  <si>
    <t>6129</t>
  </si>
  <si>
    <t>Kitur nepriskirti gyvūnų augintojai</t>
  </si>
  <si>
    <t>6130</t>
  </si>
  <si>
    <t>Kultūrinių augalų ir gyvūnų augintojai</t>
  </si>
  <si>
    <t>6210</t>
  </si>
  <si>
    <t>Miškų ūkio ir giminiškų profesijų darbuotojai</t>
  </si>
  <si>
    <t>6221</t>
  </si>
  <si>
    <t>Akvakultūros ūkio darbuotojai</t>
  </si>
  <si>
    <t>6222</t>
  </si>
  <si>
    <t>Vidaus ir priekrantės vandenų žvejai</t>
  </si>
  <si>
    <t>6223</t>
  </si>
  <si>
    <t>Giliavandenės žvejybos žvejai</t>
  </si>
  <si>
    <t>6224</t>
  </si>
  <si>
    <t>Medžiotojai</t>
  </si>
  <si>
    <t>6310</t>
  </si>
  <si>
    <t>Natūraliojo ūkio kultūrinių augalų augintojai</t>
  </si>
  <si>
    <t>6320</t>
  </si>
  <si>
    <t>Natūraliojo ūkio gyvulių augintojai</t>
  </si>
  <si>
    <t>6330</t>
  </si>
  <si>
    <t>Mišriojo natūraliojo ūkio kultūrinių augalų ir gyvulių augintojai</t>
  </si>
  <si>
    <t>6340</t>
  </si>
  <si>
    <t>Natūraliojo ūkio žvejai, miško gėrybių ir vaistažolių rinkėjai</t>
  </si>
  <si>
    <t>7111</t>
  </si>
  <si>
    <t>Statybininkai</t>
  </si>
  <si>
    <t>7112</t>
  </si>
  <si>
    <t>Plytų mūrininkai ir giminiškų profesijų darbininkai</t>
  </si>
  <si>
    <t>7113</t>
  </si>
  <si>
    <t>Akmenų mūrininkai, akmenskaldžiai, akmentašiai ir raižytojai</t>
  </si>
  <si>
    <t>7114</t>
  </si>
  <si>
    <t>Betonuotojai, betono apdailininkai ir giminiškų profesijų darbininkai</t>
  </si>
  <si>
    <t>7115</t>
  </si>
  <si>
    <t>Dailidės ir staliai</t>
  </si>
  <si>
    <t>7119</t>
  </si>
  <si>
    <t>Kitur nepriskirti statybininkai montuotojai ir giminiškų profesijų darbininkai</t>
  </si>
  <si>
    <t>7121</t>
  </si>
  <si>
    <t>Stogdengiai</t>
  </si>
  <si>
    <t>7122</t>
  </si>
  <si>
    <t>Grindų ir plytelių klojėjai</t>
  </si>
  <si>
    <t>7123</t>
  </si>
  <si>
    <t>Tinkuotojai</t>
  </si>
  <si>
    <t>7124</t>
  </si>
  <si>
    <t>Darbininkai izoliuotojai</t>
  </si>
  <si>
    <t>7125</t>
  </si>
  <si>
    <t>Stikliai</t>
  </si>
  <si>
    <t>7126</t>
  </si>
  <si>
    <t>Vandentiekininkai ir vamzdynų montuotojai</t>
  </si>
  <si>
    <t>7127</t>
  </si>
  <si>
    <t>Oro kondicionavimo ir šaldymo įrenginių mechanikai</t>
  </si>
  <si>
    <t>7131</t>
  </si>
  <si>
    <t>Dažytojai ir giminiškų profesijų darbininkai</t>
  </si>
  <si>
    <t>7132</t>
  </si>
  <si>
    <t>Dažytojai purškėjai ir lakuotojai</t>
  </si>
  <si>
    <t>7133</t>
  </si>
  <si>
    <t>Statybinių konstrukcijų valytojai</t>
  </si>
  <si>
    <t>7211</t>
  </si>
  <si>
    <t>Metalo liejikai ir liejimo formų gamintojai</t>
  </si>
  <si>
    <t>7212</t>
  </si>
  <si>
    <t>Suvirintojai</t>
  </si>
  <si>
    <t>7213</t>
  </si>
  <si>
    <t>Skardininkai</t>
  </si>
  <si>
    <t>7214</t>
  </si>
  <si>
    <t>Metalinių konstrukcijų ruošėjai ir montuotojai</t>
  </si>
  <si>
    <t>7215</t>
  </si>
  <si>
    <t>Takelažininkai ir lynų sujungėjai</t>
  </si>
  <si>
    <t>7221</t>
  </si>
  <si>
    <t>Kalviai, štampuotojai ir kalimo presų operatoriai</t>
  </si>
  <si>
    <t>7222</t>
  </si>
  <si>
    <t>Įrankininkai ir giminiškų profesijų darbininkai</t>
  </si>
  <si>
    <t>7223</t>
  </si>
  <si>
    <t>Metalo apdirbimo staklių derintojai ir operatoriai</t>
  </si>
  <si>
    <t>7224</t>
  </si>
  <si>
    <t>Metalo poliruotojai, šlifuotojai ir įrankių galąstojai</t>
  </si>
  <si>
    <t>7231</t>
  </si>
  <si>
    <t>Variklinių transporto priemonių mechanikai ir taisytojai</t>
  </si>
  <si>
    <t>7232</t>
  </si>
  <si>
    <t>Orlaivių variklių mechanikai ir taisytojai</t>
  </si>
  <si>
    <t>7233</t>
  </si>
  <si>
    <t>Pramonės ir žemės ūkio mašinų mechanikai ir taisytojai</t>
  </si>
  <si>
    <t>7234</t>
  </si>
  <si>
    <t>Dviračių ir panašių mechanizmų taisytojai</t>
  </si>
  <si>
    <t>7311</t>
  </si>
  <si>
    <t>Tiksliųjų prietaisų ir įrankių gamintojai ir taisytojai</t>
  </si>
  <si>
    <t>7312</t>
  </si>
  <si>
    <t>Muzikos instrumentų gamintojai ir derintojai</t>
  </si>
  <si>
    <t>7313</t>
  </si>
  <si>
    <t>Juvelyrai ir tauriųjų metalų apdirbėjai</t>
  </si>
  <si>
    <t>7314</t>
  </si>
  <si>
    <t>Keramikai, puodžiai ir giminiškų profesijų darbininkai</t>
  </si>
  <si>
    <t>7315</t>
  </si>
  <si>
    <t>Stiklo dirbinių meistrai, pjaustytojai ir šlifuotojai</t>
  </si>
  <si>
    <t>7316</t>
  </si>
  <si>
    <t>Ženklų piešėjai, dekoruotojai, graviruotojai ir ėsdintojai</t>
  </si>
  <si>
    <t>7317</t>
  </si>
  <si>
    <t>Amatininkai, gaminantys dirbinius iš medienos, vytelių ir panašių medžiagų</t>
  </si>
  <si>
    <t>7318</t>
  </si>
  <si>
    <t>Amatininkai, gaminantys dirbinius iš tekstilės, odos ir panašių medžiagų</t>
  </si>
  <si>
    <t>7319</t>
  </si>
  <si>
    <t>Kitur nepriskirti amatininkai</t>
  </si>
  <si>
    <t>7321</t>
  </si>
  <si>
    <t>Spausdinimo formų surinkėjai ir ruošėjai</t>
  </si>
  <si>
    <t>7322</t>
  </si>
  <si>
    <t>Spaustuvininkai</t>
  </si>
  <si>
    <t>7323</t>
  </si>
  <si>
    <t>Spaudinių apdailos darbininkai ir knygrišiai</t>
  </si>
  <si>
    <t>7411</t>
  </si>
  <si>
    <t>Pastatų ir kitokie elektrikai</t>
  </si>
  <si>
    <t>7412</t>
  </si>
  <si>
    <t>Elektromechanikai ir elektromonteriai</t>
  </si>
  <si>
    <t>7413</t>
  </si>
  <si>
    <t>Elektros linijų įrengėjai ir taisytojai</t>
  </si>
  <si>
    <t>7421</t>
  </si>
  <si>
    <t>Elektroninės įrangos mechanikai ir taisytojai</t>
  </si>
  <si>
    <t>7422</t>
  </si>
  <si>
    <t>Informacinių technologijų ir ryšių sistemų įrengėjai ir taisytojai</t>
  </si>
  <si>
    <t>7511</t>
  </si>
  <si>
    <t>Mėsininkai, žuvų darinėtojai ir giminiškų profesijų darbininkai</t>
  </si>
  <si>
    <t>7512</t>
  </si>
  <si>
    <t>Kepėjai ir konditeriai</t>
  </si>
  <si>
    <t>7513</t>
  </si>
  <si>
    <t>Pieno produktų gamintojai</t>
  </si>
  <si>
    <t>7514</t>
  </si>
  <si>
    <t>Vaisių, daržovių ir panašių produktų konservuotojai</t>
  </si>
  <si>
    <t>7515</t>
  </si>
  <si>
    <t>Maisto produktų ir gėrimų degustatoriai ir rūšiuotojai</t>
  </si>
  <si>
    <t>7516</t>
  </si>
  <si>
    <t>Tabako ruošėjai ir tabako gaminių gamintojai</t>
  </si>
  <si>
    <t>7521</t>
  </si>
  <si>
    <t>Medienos meistrai</t>
  </si>
  <si>
    <t>7522</t>
  </si>
  <si>
    <t>Baldžiai ir giminiškų profesijų darbininkai</t>
  </si>
  <si>
    <t>7523</t>
  </si>
  <si>
    <t>Medienos apdirbimo staklių derintojai ir operatoriai</t>
  </si>
  <si>
    <t>7531</t>
  </si>
  <si>
    <t>Siuvėjai, kailininkai ir kepurininkai</t>
  </si>
  <si>
    <t>7532</t>
  </si>
  <si>
    <t>Drabužių ir kitų gaminių sukirpėjai</t>
  </si>
  <si>
    <t>7533</t>
  </si>
  <si>
    <t>Siuvinėtojai ir giminiškų profesijų darbininkai</t>
  </si>
  <si>
    <t>7534</t>
  </si>
  <si>
    <t>Baldų apmušėjai ir giminiškų profesijų darbininkai</t>
  </si>
  <si>
    <t>7535</t>
  </si>
  <si>
    <t>Kailiadirbiai ir odininkai</t>
  </si>
  <si>
    <t>7536</t>
  </si>
  <si>
    <t>Batsiuviai ir giminiškų profesijų darbininkai</t>
  </si>
  <si>
    <t>7541</t>
  </si>
  <si>
    <t>Narai</t>
  </si>
  <si>
    <t>7542</t>
  </si>
  <si>
    <t>Sprogdintojai</t>
  </si>
  <si>
    <t>7543</t>
  </si>
  <si>
    <t>Produktų rūšiuotojai ir bandytojai (išskyrus maisto produktų ir gėrimų degustatorius ir rūšiuotojus)</t>
  </si>
  <si>
    <t>7544</t>
  </si>
  <si>
    <t>Fumigaciją atliekantys darbuotojai ir kiti kenkėjų ir piktžolių naikintojai</t>
  </si>
  <si>
    <t>7549</t>
  </si>
  <si>
    <t>Kitur nepriskirti kvalifikuoti darbininkai ir amatininkai</t>
  </si>
  <si>
    <t>8111</t>
  </si>
  <si>
    <t>Kalnakasiai ir kasybos įrenginių operatoriai</t>
  </si>
  <si>
    <t>8112</t>
  </si>
  <si>
    <t>Mineralų ir uolienų apdorojimo įrenginių operatoriai</t>
  </si>
  <si>
    <t>8113</t>
  </si>
  <si>
    <t>Gręžinių gręžėjai ir giminiškų profesijų darbininkai</t>
  </si>
  <si>
    <t>8114</t>
  </si>
  <si>
    <t>Cemento gamybos, akmens ir kitos mineralinės žaliavos apdirbimo mašinų operatoriai</t>
  </si>
  <si>
    <t>8121</t>
  </si>
  <si>
    <t>Metalų perdirbimo ir apdorojimo įrenginių operatoriai</t>
  </si>
  <si>
    <t>8122</t>
  </si>
  <si>
    <t>Metalų poliravimo, elektrolitinio ir kitokio metalų paviršiaus dengimo įrenginių operatoriai</t>
  </si>
  <si>
    <t>8131</t>
  </si>
  <si>
    <t>Cheminių gaminių gamybos įrenginių ir mašinų operatoriai</t>
  </si>
  <si>
    <t>8132</t>
  </si>
  <si>
    <t>Fotografijos gaminių gamybos mašinų operatoriai</t>
  </si>
  <si>
    <t>8141</t>
  </si>
  <si>
    <t>Guminių gaminių gamybos mašinų operatoriai</t>
  </si>
  <si>
    <t>8142</t>
  </si>
  <si>
    <t>Plastikinių gaminių gamybos mašinų operatoriai</t>
  </si>
  <si>
    <t>8143</t>
  </si>
  <si>
    <t>Popierinių gaminių gamybos mašinų operatoriai</t>
  </si>
  <si>
    <t>8151</t>
  </si>
  <si>
    <t>Pluošto ruošimo, verpimo ir vijimo mašinų operatoriai</t>
  </si>
  <si>
    <t>8152</t>
  </si>
  <si>
    <t>Audimo ir mezgimo mašinų operatoriai</t>
  </si>
  <si>
    <t>8153</t>
  </si>
  <si>
    <t>Siuvimo ir siuvinėjimo mašinų operatoriai</t>
  </si>
  <si>
    <t>8154</t>
  </si>
  <si>
    <t>Balinimo, dažymo ir valymo mašinų operatoriai</t>
  </si>
  <si>
    <t>8155</t>
  </si>
  <si>
    <t>Kailių ir odos išdirbimo mašinų operatoriai</t>
  </si>
  <si>
    <t>8156</t>
  </si>
  <si>
    <t>Avalynės ir panašių gaminių gamybos mašinų operatoriai</t>
  </si>
  <si>
    <t>8157</t>
  </si>
  <si>
    <t>Skalbimo mašinų operatoriai</t>
  </si>
  <si>
    <t>8159</t>
  </si>
  <si>
    <t>Kitur nepriskirti tekstilės, kailio ir odos gaminių gamybos mašinų operatoriai</t>
  </si>
  <si>
    <t>8160</t>
  </si>
  <si>
    <t>Maisto ir panašių produktų gamybos mašinų operatoriai</t>
  </si>
  <si>
    <t>8171</t>
  </si>
  <si>
    <t>Popieriaus plaušienos paruošimo ir popieriaus gamybos įrenginių operatoriai</t>
  </si>
  <si>
    <t>8172</t>
  </si>
  <si>
    <t>Medienos apdirbimo įrenginių operatoriai</t>
  </si>
  <si>
    <t>8181</t>
  </si>
  <si>
    <t>Stiklo ir keramikos gamybos įrenginių operatoriai</t>
  </si>
  <si>
    <t>8182</t>
  </si>
  <si>
    <t>Garo variklių ir katilų operatoriai</t>
  </si>
  <si>
    <t>8183</t>
  </si>
  <si>
    <t>Pakavimo, pilstymo į butelius ir ženklinimo (etiketėmis) operatoriai</t>
  </si>
  <si>
    <t>8189</t>
  </si>
  <si>
    <t>Kitur nepriskirti stacionariųjų įrenginių ir mašinų operatoriai</t>
  </si>
  <si>
    <t>8211</t>
  </si>
  <si>
    <t>Mechaninių mašinų surinkėjai</t>
  </si>
  <si>
    <t>8212</t>
  </si>
  <si>
    <t>Elektrinės ir elektroninės įrangos surinkėjai</t>
  </si>
  <si>
    <t>8219</t>
  </si>
  <si>
    <t>Kitur nepriskirti surinkėjai</t>
  </si>
  <si>
    <t>8311</t>
  </si>
  <si>
    <t>Lokomotyvų mašinistai</t>
  </si>
  <si>
    <t>8312</t>
  </si>
  <si>
    <t>Geležinkelio ratstabdininkai, signalizuotojai ir iešmininkai</t>
  </si>
  <si>
    <t>8321</t>
  </si>
  <si>
    <t>Motociklų vairuotojai</t>
  </si>
  <si>
    <t>8322</t>
  </si>
  <si>
    <t>Lengvųjų automobilių, taksi ir furgonų vairuotojai</t>
  </si>
  <si>
    <t>8331</t>
  </si>
  <si>
    <t>Autobusų ir troleibusų vairuotojai</t>
  </si>
  <si>
    <t>8332</t>
  </si>
  <si>
    <t>Sunkiasvorių sunkvežimių ir krovinių transporto priemonių vairuotojai</t>
  </si>
  <si>
    <t>8341</t>
  </si>
  <si>
    <t>Judamųjų žemės ir miškų ūkio įrenginių operatoriai</t>
  </si>
  <si>
    <t>8342</t>
  </si>
  <si>
    <t>Žemės darbų ir panašių mašinų operatoriai</t>
  </si>
  <si>
    <t>8343</t>
  </si>
  <si>
    <t>Kranų, kėlimo įrenginių ir panašių mašinų operatoriai</t>
  </si>
  <si>
    <t>8344</t>
  </si>
  <si>
    <t>Krovininių platformų ir krautuvų operatoriai</t>
  </si>
  <si>
    <t>8350</t>
  </si>
  <si>
    <t>Laivų įgulų nariai ir giminiškų profesijų darbininkai</t>
  </si>
  <si>
    <t>9111</t>
  </si>
  <si>
    <t>Namų valytojai ir pagalbininkai</t>
  </si>
  <si>
    <t>9112</t>
  </si>
  <si>
    <t>Biurų, viešbučių ir kitų įstaigų valytojai, kambarinės ir pagalbininkai</t>
  </si>
  <si>
    <t>9121</t>
  </si>
  <si>
    <t>Skalbėjai ir lygintojai (rankomis)</t>
  </si>
  <si>
    <t>9122</t>
  </si>
  <si>
    <t>Transporto priemonių plovėjai</t>
  </si>
  <si>
    <t>9123</t>
  </si>
  <si>
    <t>Langų plovėjai</t>
  </si>
  <si>
    <t>9129</t>
  </si>
  <si>
    <t>Kiti valytojai</t>
  </si>
  <si>
    <t>9211</t>
  </si>
  <si>
    <t>Nekvalifikuoti augalininkystės ūkio darbininkai</t>
  </si>
  <si>
    <t>9212</t>
  </si>
  <si>
    <t>Nekvalifikuoti gyvulininkystės ūkio darbininkai</t>
  </si>
  <si>
    <t>9213</t>
  </si>
  <si>
    <t>Nekvalifikuoti mišriojo augalininkystės ir gyvulininkystės ūkio darbininkai</t>
  </si>
  <si>
    <t>9214</t>
  </si>
  <si>
    <t>Nekvalifikuoti sodininkystės ir daržininkystės ūkio darbininkai</t>
  </si>
  <si>
    <t>9215</t>
  </si>
  <si>
    <t>Nekvalifikuoti miškų ūkio darbininkai</t>
  </si>
  <si>
    <t>9216</t>
  </si>
  <si>
    <t>Nekvalifikuoti žuvininkystės ir akvakultūros ūkio darbininkai</t>
  </si>
  <si>
    <t>9311</t>
  </si>
  <si>
    <t>Nekvalifikuoti gavybos ir karjerų eksploatavimo darbininkai</t>
  </si>
  <si>
    <t>9312</t>
  </si>
  <si>
    <t>Nekvalifikuoti inžinerinių statinių statybos darbininkai</t>
  </si>
  <si>
    <t>9313</t>
  </si>
  <si>
    <t>Nekvalifikuoti pastatų statybos darbininkai</t>
  </si>
  <si>
    <t>9321</t>
  </si>
  <si>
    <t>Pakuotojai (rankomis)</t>
  </si>
  <si>
    <t>9329</t>
  </si>
  <si>
    <t>Kitur nepriskirti nekvalifikuoti apdirbimo pramonės darbininkai</t>
  </si>
  <si>
    <t>9331</t>
  </si>
  <si>
    <t>Rankinių ir pedalinių transporto priemonių vairuotojai</t>
  </si>
  <si>
    <t>9332</t>
  </si>
  <si>
    <t>Traukiančių transporto priemones ir mašinas gyvulių vadeliotojai</t>
  </si>
  <si>
    <t>9333</t>
  </si>
  <si>
    <t>Krovikai</t>
  </si>
  <si>
    <t>9334</t>
  </si>
  <si>
    <t>Prekių krovėjai į lentynas</t>
  </si>
  <si>
    <t>9411</t>
  </si>
  <si>
    <t>Greitojo maisto ruošėjai</t>
  </si>
  <si>
    <t>9412</t>
  </si>
  <si>
    <t>Virtuvės pagalbininkai</t>
  </si>
  <si>
    <t>9510</t>
  </si>
  <si>
    <t>Gatvėje teikiamų paslaugų teikėjai</t>
  </si>
  <si>
    <t>9520</t>
  </si>
  <si>
    <t>Ne maisto produktų gatvės pardavėjai</t>
  </si>
  <si>
    <t>9611</t>
  </si>
  <si>
    <t>Buitinių atliekų surinkėjai</t>
  </si>
  <si>
    <t>9612</t>
  </si>
  <si>
    <t>Buitinių atliekų rūšiuotojai</t>
  </si>
  <si>
    <t>9613</t>
  </si>
  <si>
    <t>Kiemsargiai ir giminiškų profesijų darbininkai</t>
  </si>
  <si>
    <t>9621</t>
  </si>
  <si>
    <t>Kurjeriai, pasiuntiniai ir bagažo nešikai</t>
  </si>
  <si>
    <t>9622</t>
  </si>
  <si>
    <t>Nekvalifikuoti atsitiktinių darbų darbininkai</t>
  </si>
  <si>
    <t>9623</t>
  </si>
  <si>
    <t>Pinigų iš automatų surinkėjai ir matuoklių rodmenų tikrintojai</t>
  </si>
  <si>
    <t>9624</t>
  </si>
  <si>
    <t>Vandens vežikai ir malkų rinkėjai</t>
  </si>
  <si>
    <t>9629</t>
  </si>
  <si>
    <t>Kitur nepriskirti nekvalifikuoti darbininkai</t>
  </si>
  <si>
    <t>Macro2</t>
  </si>
  <si>
    <t>Macro3</t>
  </si>
  <si>
    <t>Macro4</t>
  </si>
  <si>
    <t>Macro5</t>
  </si>
  <si>
    <t>Macro6</t>
  </si>
  <si>
    <t>Macro7</t>
  </si>
  <si>
    <t>Macro8</t>
  </si>
  <si>
    <t>Recover</t>
  </si>
  <si>
    <t>Macro1</t>
  </si>
  <si>
    <t>Auto_Open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</si>
</sst>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0"/>
    <numFmt numFmtId="165" formatCode="######################################0.00"/>
  </numFmts>
  <fonts count="4" x14ac:knownFonts="1">
    <font>
      <sz val="10"/>
      <name val="Arial"/>
      <family val="2"/>
      <charset val="186"/>
    </font>
    <font>
      <sz val="10"/>
      <color indexed="8"/>
      <name val="Arial"/>
      <family val="2"/>
      <charset val="186"/>
    </font>
    <font>
      <sz val="1"/>
      <color indexed="8"/>
      <name val="Arial"/>
      <family val="2"/>
      <charset val="186"/>
    </font>
    <font>
      <sz val="10"/>
      <color indexed="12"/>
      <name val="Arial"/>
      <family val="2"/>
      <charset val="186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1" fillId="2" borderId="1" xfId="0" applyNumberFormat="1" applyFont="1" applyFill="1" applyBorder="1" applyAlignment="1">
      <alignment horizontal="right" vertical="top"/>
    </xf>
    <xf numFmtId="165" fontId="1" fillId="2" borderId="1" xfId="0" applyNumberFormat="1" applyFont="1" applyFill="1" applyBorder="1" applyAlignment="1">
      <alignment horizontal="right" vertical="top"/>
    </xf>
    <xf numFmtId="0" fontId="2" fillId="2" borderId="2" xfId="0" applyFont="1" applyFill="1" applyBorder="1" applyAlignment="1">
      <alignment horizontal="right" vertical="top"/>
    </xf>
    <xf numFmtId="0" fontId="2" fillId="2" borderId="3" xfId="0" applyFont="1" applyFill="1" applyBorder="1" applyAlignment="1">
      <alignment horizontal="right" vertical="top"/>
    </xf>
    <xf numFmtId="0" fontId="3" fillId="2" borderId="1" xfId="0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D4D4D4"/>
      <rgbColor rgb="00003399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100-000000000000}">
  <dimension ref="A1:B163"/>
  <sheetViews>
    <sheetView showFormulas="1" workbookViewId="0"/>
  </sheetViews>
  <sheetFormatPr defaultRowHeight="12.75" x14ac:dyDescent="0.2"/>
  <sheetData>
    <row r="1" spans="1:2" x14ac:dyDescent="0.2">
      <c r="A1" t="s">
        <v>874</v>
      </c>
      <c r="B1" t="s">
        <v>883</v>
      </c>
    </row>
    <row r="2" spans="1:2" x14ac:dyDescent="0.2">
      <c r="A2" t="b">
        <f>ALIGNMENT(4,FALSE,1,0,FALSE)</f>
        <v>1</v>
      </c>
      <c r="B2" t="b">
        <f>ERROR(2,Recover)</f>
        <v>1</v>
      </c>
    </row>
    <row r="3" spans="1:2" x14ac:dyDescent="0.2">
      <c r="A3" t="b">
        <f>BORDER(0,1,1,1,1,0,0,1,1,1,1)</f>
        <v>1</v>
      </c>
      <c r="B3" t="b">
        <f>WORKBOOK.SELECT("Pagal atskirą kodą 2")</f>
        <v>1</v>
      </c>
    </row>
    <row r="4" spans="1:2" x14ac:dyDescent="0.2">
      <c r="A4" t="b">
        <f>PATTERNS(1,0,2,TRUE)</f>
        <v>1</v>
      </c>
      <c r="B4" t="b">
        <f>WINDOW.RESTORE()</f>
        <v>1</v>
      </c>
    </row>
    <row r="5" spans="1:2" x14ac:dyDescent="0.2">
      <c r="A5" t="b">
        <f>FORMAT.FONT("Arial",10,FALSE,FALSE,FALSE,FALSE,1,FALSE,FALSE)</f>
        <v>1</v>
      </c>
      <c r="B5" t="b">
        <f>WINDOW.SIZE(82.5,42.75)</f>
        <v>1</v>
      </c>
    </row>
    <row r="6" spans="1:2" x14ac:dyDescent="0.2">
      <c r="A6" t="b">
        <f>RETURN()</f>
        <v>1</v>
      </c>
      <c r="B6" t="b">
        <f>WORKBOOK.HIDE("Macro1",TRUE)</f>
        <v>1</v>
      </c>
    </row>
    <row r="7" spans="1:2" x14ac:dyDescent="0.2">
      <c r="B7" t="b">
        <f>EDIT.COLOR(1,0,0,0)</f>
        <v>1</v>
      </c>
    </row>
    <row r="8" spans="1:2" x14ac:dyDescent="0.2">
      <c r="A8" t="s">
        <v>875</v>
      </c>
      <c r="B8" t="b">
        <f>EDIT.COLOR(3,255,0,0)</f>
        <v>1</v>
      </c>
    </row>
    <row r="9" spans="1:2" x14ac:dyDescent="0.2">
      <c r="A9" t="b">
        <f>ALIGNMENT(4,FALSE,1,0,FALSE)</f>
        <v>1</v>
      </c>
      <c r="B9" t="b">
        <f>EDIT.COLOR(5,0,51,153)</f>
        <v>1</v>
      </c>
    </row>
    <row r="10" spans="1:2" x14ac:dyDescent="0.2">
      <c r="A10" t="b">
        <f>BORDER(1,0,0,0,0,0,1,0,0,0,0)</f>
        <v>1</v>
      </c>
      <c r="B10" t="b">
        <f>EDIT.COLOR(4,212,212,212)</f>
        <v>1</v>
      </c>
    </row>
    <row r="11" spans="1:2" x14ac:dyDescent="0.2">
      <c r="A11" t="b">
        <f>PATTERNS(1,0,2,TRUE)</f>
        <v>1</v>
      </c>
      <c r="B11" t="b">
        <f>EDIT.COLOR(2,255,255,255)</f>
        <v>1</v>
      </c>
    </row>
    <row r="12" spans="1:2" x14ac:dyDescent="0.2">
      <c r="A12" t="b">
        <f>FORMAT.FONT("",1,FALSE,FALSE,FALSE,FALSE,1,FALSE,FALSE)</f>
        <v>1</v>
      </c>
      <c r="B12" t="e">
        <f>RUN("Macro1")</f>
        <v>#N/A</v>
      </c>
    </row>
    <row r="13" spans="1:2" x14ac:dyDescent="0.2">
      <c r="A13" t="b">
        <f>RETURN()</f>
        <v>1</v>
      </c>
      <c r="B13" t="e">
        <f>RUN("Macro8")</f>
        <v>#N/A</v>
      </c>
    </row>
    <row r="14" spans="1:2" x14ac:dyDescent="0.2">
      <c r="B14" t="b">
        <f>DELETE.NAME("Auto_Open")</f>
        <v>1</v>
      </c>
    </row>
    <row r="15" spans="1:2" x14ac:dyDescent="0.2">
      <c r="A15" t="s">
        <v>876</v>
      </c>
      <c r="B15" t="b">
        <f>WORKBOOK.SELECT("Pagal atskirą kodą 2")</f>
        <v>1</v>
      </c>
    </row>
    <row r="16" spans="1:2" x14ac:dyDescent="0.2">
      <c r="A16" t="b">
        <f>ALIGNMENT(4,FALSE,1,0,FALSE)</f>
        <v>1</v>
      </c>
      <c r="B16" t="b">
        <f>SELECT("R3:R65536")</f>
        <v>1</v>
      </c>
    </row>
    <row r="17" spans="1:2" x14ac:dyDescent="0.2">
      <c r="A17" t="b">
        <f>BORDER(0,1,1,1,1,0,0,1,1,1,1)</f>
        <v>1</v>
      </c>
      <c r="B17" t="b">
        <f>COLUMN.WIDTH(,,,3)</f>
        <v>1</v>
      </c>
    </row>
    <row r="18" spans="1:2" x14ac:dyDescent="0.2">
      <c r="A18" t="b">
        <f>PATTERNS(1,0,2,TRUE)</f>
        <v>1</v>
      </c>
      <c r="B18" t="b">
        <f>ROW.HEIGHT(,,,3)</f>
        <v>1</v>
      </c>
    </row>
    <row r="19" spans="1:2" x14ac:dyDescent="0.2">
      <c r="A19" t="b">
        <f>FORMAT.FONT("",1,FALSE,FALSE,FALSE,FALSE,1,FALSE,FALSE)</f>
        <v>1</v>
      </c>
      <c r="B19" t="b">
        <f>SELECT("R1C1")</f>
        <v>1</v>
      </c>
    </row>
    <row r="20" spans="1:2" x14ac:dyDescent="0.2">
      <c r="A20" t="b">
        <f>RETURN()</f>
        <v>1</v>
      </c>
      <c r="B20" t="b">
        <f>WINDOW.MAXIMIZE()</f>
        <v>1</v>
      </c>
    </row>
    <row r="21" spans="1:2" x14ac:dyDescent="0.2">
      <c r="B21" t="b">
        <f>RETURN()</f>
        <v>1</v>
      </c>
    </row>
    <row r="22" spans="1:2" x14ac:dyDescent="0.2">
      <c r="A22" t="s">
        <v>877</v>
      </c>
    </row>
    <row r="23" spans="1:2" x14ac:dyDescent="0.2">
      <c r="A23" t="b">
        <f>ALIGNMENT(2,FALSE,1,0,FALSE)</f>
        <v>1</v>
      </c>
    </row>
    <row r="24" spans="1:2" x14ac:dyDescent="0.2">
      <c r="A24" t="b">
        <f>BORDER(1,0,0,0,0,0,1,0,0,0,0)</f>
        <v>1</v>
      </c>
    </row>
    <row r="25" spans="1:2" x14ac:dyDescent="0.2">
      <c r="A25" t="b">
        <f>PATTERNS(1,0,2,TRUE)</f>
        <v>1</v>
      </c>
    </row>
    <row r="26" spans="1:2" x14ac:dyDescent="0.2">
      <c r="A26" t="b">
        <f>FORMAT.FONT("Arial",10,FALSE,FALSE,FALSE,FALSE,5,FALSE,FALSE)</f>
        <v>1</v>
      </c>
    </row>
    <row r="27" spans="1:2" x14ac:dyDescent="0.2">
      <c r="A27" t="b">
        <f>RETURN()</f>
        <v>1</v>
      </c>
    </row>
    <row r="29" spans="1:2" x14ac:dyDescent="0.2">
      <c r="A29" t="s">
        <v>878</v>
      </c>
    </row>
    <row r="30" spans="1:2" x14ac:dyDescent="0.2">
      <c r="A30" t="b">
        <f>ALIGNMENT(2,TRUE,1,0,FALSE)</f>
        <v>1</v>
      </c>
    </row>
    <row r="31" spans="1:2" x14ac:dyDescent="0.2">
      <c r="A31" t="b">
        <f>BORDER(1,0,0,0,0,0,1,0,0,0,0)</f>
        <v>1</v>
      </c>
    </row>
    <row r="32" spans="1:2" x14ac:dyDescent="0.2">
      <c r="A32" t="b">
        <f>PATTERNS(1,0,2,TRUE)</f>
        <v>1</v>
      </c>
    </row>
    <row r="33" spans="1:1" x14ac:dyDescent="0.2">
      <c r="A33" t="b">
        <f>FORMAT.FONT("Arial",10,FALSE,FALSE,FALSE,FALSE,5,FALSE,FALSE)</f>
        <v>1</v>
      </c>
    </row>
    <row r="34" spans="1:1" x14ac:dyDescent="0.2">
      <c r="A34" t="b">
        <f>RETURN()</f>
        <v>1</v>
      </c>
    </row>
    <row r="36" spans="1:1" x14ac:dyDescent="0.2">
      <c r="A36" t="s">
        <v>879</v>
      </c>
    </row>
    <row r="37" spans="1:1" x14ac:dyDescent="0.2">
      <c r="A37" t="b">
        <f>ALIGNMENT(4,FALSE,1,0,FALSE)</f>
        <v>1</v>
      </c>
    </row>
    <row r="38" spans="1:1" x14ac:dyDescent="0.2">
      <c r="A38" t="b">
        <f>BORDER(0,1,1,1,1,0,0,1,1,1,1)</f>
        <v>1</v>
      </c>
    </row>
    <row r="39" spans="1:1" x14ac:dyDescent="0.2">
      <c r="A39" t="b">
        <f>PATTERNS(1,0,2,TRUE)</f>
        <v>1</v>
      </c>
    </row>
    <row r="40" spans="1:1" x14ac:dyDescent="0.2">
      <c r="A40" t="b">
        <f>FORMAT.FONT("Arial",10,TRUE,FALSE,FALSE,FALSE,1,FALSE,FALSE)</f>
        <v>1</v>
      </c>
    </row>
    <row r="41" spans="1:1" x14ac:dyDescent="0.2">
      <c r="A41" t="b">
        <f>RETURN()</f>
        <v>1</v>
      </c>
    </row>
    <row r="43" spans="1:1" x14ac:dyDescent="0.2">
      <c r="A43" t="s">
        <v>880</v>
      </c>
    </row>
    <row r="44" spans="1:1" x14ac:dyDescent="0.2">
      <c r="A44" t="b">
        <f>WORKBOOK.SELECT("Pagal atskirą kodą 2")</f>
        <v>1</v>
      </c>
    </row>
    <row r="45" spans="1:1" x14ac:dyDescent="0.2">
      <c r="A45" t="b">
        <f>SELECT("R9C4:R448C4;R9C5:R448C5;R9C6:R448C6;R9C7:R448C7;R9C8:R448C8;R9C9:R448C9;R9C10:R448C10;R9C11:R448C11;R9C12:R448C12;R9C13:R448C13;R9C14:R448C14;R9C15:R448C15")</f>
        <v>1</v>
      </c>
    </row>
    <row r="46" spans="1:1" x14ac:dyDescent="0.2">
      <c r="A46" t="e">
        <f>RUN("Macro2")</f>
        <v>#N/A</v>
      </c>
    </row>
    <row r="47" spans="1:1" x14ac:dyDescent="0.2">
      <c r="A47" t="b">
        <f>SELECT("R448C4;R448C7;R448C10;R448C13")</f>
        <v>1</v>
      </c>
    </row>
    <row r="48" spans="1:1" x14ac:dyDescent="0.2">
      <c r="A48" t="b">
        <f>FORMAT.NUMBER("#######0")</f>
        <v>1</v>
      </c>
    </row>
    <row r="49" spans="1:1" x14ac:dyDescent="0.2">
      <c r="A49" t="b">
        <f>SELECT("R448C5;R448C8;R448C11;R448C14")</f>
        <v>1</v>
      </c>
    </row>
    <row r="50" spans="1:1" x14ac:dyDescent="0.2">
      <c r="A50" t="b">
        <f>FORMAT.NUMBER("#####0,00")</f>
        <v>1</v>
      </c>
    </row>
    <row r="51" spans="1:1" x14ac:dyDescent="0.2">
      <c r="A51" t="b">
        <f>SELECT("R9C4:R448C4;R9C7:R448C7;R9C10:R448C10;R9C13:R448C13")</f>
        <v>1</v>
      </c>
    </row>
    <row r="52" spans="1:1" x14ac:dyDescent="0.2">
      <c r="A52" t="b">
        <f>FORMAT.NUMBER("#######0")</f>
        <v>1</v>
      </c>
    </row>
    <row r="53" spans="1:1" x14ac:dyDescent="0.2">
      <c r="A53" t="b">
        <f>SELECT("R9C6:R448C6;R9C9:R448C9;R9C12:R448C12;R9C15:R448C15")</f>
        <v>1</v>
      </c>
    </row>
    <row r="54" spans="1:1" x14ac:dyDescent="0.2">
      <c r="A54" t="b">
        <f>FORMAT.NUMBER("######################################0,00")</f>
        <v>1</v>
      </c>
    </row>
    <row r="55" spans="1:1" x14ac:dyDescent="0.2">
      <c r="A55" t="b">
        <f>SELECT("R9C5:R448C5;R9C8:R448C8;R9C11:R448C11;R9C14:R448C14")</f>
        <v>1</v>
      </c>
    </row>
    <row r="56" spans="1:1" x14ac:dyDescent="0.2">
      <c r="A56" t="b">
        <f>FORMAT.NUMBER("#####0,00")</f>
        <v>1</v>
      </c>
    </row>
    <row r="57" spans="1:1" x14ac:dyDescent="0.2">
      <c r="A57" t="b">
        <f>SELECT("R5C1:R7C2")</f>
        <v>1</v>
      </c>
    </row>
    <row r="58" spans="1:1" x14ac:dyDescent="0.2">
      <c r="A58" t="e">
        <f>RUN("Macro3")</f>
        <v>#N/A</v>
      </c>
    </row>
    <row r="59" spans="1:1" x14ac:dyDescent="0.2">
      <c r="A59" t="b">
        <f>SELECT("R8C3:R8C15;R8C3:R448C3")</f>
        <v>1</v>
      </c>
    </row>
    <row r="60" spans="1:1" x14ac:dyDescent="0.2">
      <c r="A60" t="e">
        <f>RUN("Macro4")</f>
        <v>#N/A</v>
      </c>
    </row>
    <row r="61" spans="1:1" x14ac:dyDescent="0.2">
      <c r="A61" t="b">
        <f>SELECT("R5C3;R6C3;R7C3;R8C1;R8C2;R5C4:R5C6;R6C4:R6C6;R7C4;R7C5;R7C6;R5C7:R5C9;R6C7:R6C9;R7C7;R7C8;R7C9;R5C10:R5C12;R6C10:R6C12;R7C10;R7C11;R7C12;R5C13:R5C15;R6C13:R6C15;R7C13;R7C14;R7C15;R9C1;R9C2;R10C1;R10C2")</f>
        <v>1</v>
      </c>
    </row>
    <row r="62" spans="1:1" x14ac:dyDescent="0.2">
      <c r="A62" t="e">
        <f>RUN("Macro5")</f>
        <v>#N/A</v>
      </c>
    </row>
    <row r="63" spans="1:1" x14ac:dyDescent="0.2">
      <c r="A63" t="b">
        <f>SELECT("R11C1;R11C2;R12C1;R12C2;R13C1;R13C2;R14C1;R14C2;R15C1;R15C2;R16C1;R16C2;R17C1;R17C2;R18C1;R18C2;R19C1;R19C2;R20C1;R20C2;R21C1;R21C2;R22C1;R22C2;R23C1;R23C2;R24C1;R24C2;R25C1;R25C2;R26C1;R26C2;R27C1")</f>
        <v>1</v>
      </c>
    </row>
    <row r="64" spans="1:1" x14ac:dyDescent="0.2">
      <c r="A64" t="e">
        <f>RUN("Macro5")</f>
        <v>#N/A</v>
      </c>
    </row>
    <row r="65" spans="1:1" x14ac:dyDescent="0.2">
      <c r="A65" t="b">
        <f>SELECT("R27C2;R28C1;R28C2;R29C1;R29C2;R30C1;R30C2;R31C1;R31C2;R32C1;R32C2;R33C1;R33C2;R34C1;R34C2;R35C1;R35C2;R36C1;R36C2;R37C1;R37C2;R38C1;R38C2;R39C1;R39C2;R40C1;R40C2;R41C1;R41C2;R42C1;R42C2;R43C1;R43C2")</f>
        <v>1</v>
      </c>
    </row>
    <row r="66" spans="1:1" x14ac:dyDescent="0.2">
      <c r="A66" t="e">
        <f>RUN("Macro5")</f>
        <v>#N/A</v>
      </c>
    </row>
    <row r="67" spans="1:1" x14ac:dyDescent="0.2">
      <c r="A67" t="b">
        <f>SELECT("R44C1;R44C2;R45C1;R45C2;R46C1;R46C2;R47C1;R47C2;R48C1;R48C2;R49C1;R49C2;R50C1;R50C2;R51C1;R51C2;R52C1;R52C2;R53C1;R53C2;R54C1;R54C2;R55C1;R55C2;R56C1;R56C2;R57C1;R57C2;R58C1;R58C2;R59C1;R59C2;R60C1")</f>
        <v>1</v>
      </c>
    </row>
    <row r="68" spans="1:1" x14ac:dyDescent="0.2">
      <c r="A68" t="e">
        <f>RUN("Macro5")</f>
        <v>#N/A</v>
      </c>
    </row>
    <row r="69" spans="1:1" x14ac:dyDescent="0.2">
      <c r="A69" t="b">
        <f>SELECT("R60C2;R61C1;R61C2;R62C1;R62C2;R63C1;R63C2;R64C1;R64C2;R65C1;R65C2;R66C1;R66C2;R67C1;R67C2;R68C1;R68C2;R69C1;R69C2;R70C1;R70C2;R71C1;R71C2;R72C1;R72C2;R73C1;R73C2;R74C1;R74C2;R75C1;R75C2;R76C1;R76C2")</f>
        <v>1</v>
      </c>
    </row>
    <row r="70" spans="1:1" x14ac:dyDescent="0.2">
      <c r="A70" t="e">
        <f>RUN("Macro5")</f>
        <v>#N/A</v>
      </c>
    </row>
    <row r="71" spans="1:1" x14ac:dyDescent="0.2">
      <c r="A71" t="b">
        <f>SELECT("R77C1;R77C2;R78C1;R78C2;R79C1;R79C2;R80C1;R80C2;R81C1;R81C2;R82C1;R82C2;R83C1;R83C2;R84C1;R84C2;R85C1;R85C2;R86C1;R86C2;R87C1;R87C2;R88C1;R88C2;R89C1;R89C2;R90C1;R90C2;R91C1;R91C2;R92C1;R92C2;R93C1")</f>
        <v>1</v>
      </c>
    </row>
    <row r="72" spans="1:1" x14ac:dyDescent="0.2">
      <c r="A72" t="e">
        <f>RUN("Macro5")</f>
        <v>#N/A</v>
      </c>
    </row>
    <row r="73" spans="1:1" x14ac:dyDescent="0.2">
      <c r="A73" t="b">
        <f>SELECT("R93C2;R94C1;R94C2;R95C1;R95C2;R96C1;R96C2;R97C1;R97C2;R98C1;R98C2;R99C1;R99C2;R100C1;R100C2;R101C1;R101C2;R102C1;R102C2;R103C1;R103C2;R104C1;R104C2;R105C1;R105C2;R106C1;R106C2;R107C1;R107C2;R108C1")</f>
        <v>1</v>
      </c>
    </row>
    <row r="74" spans="1:1" x14ac:dyDescent="0.2">
      <c r="A74" t="e">
        <f>RUN("Macro5")</f>
        <v>#N/A</v>
      </c>
    </row>
    <row r="75" spans="1:1" x14ac:dyDescent="0.2">
      <c r="A75" t="b">
        <f>SELECT("R108C2;R109C1;R109C2;R110C1;R110C2;R111C1;R111C2;R112C1;R112C2;R113C1;R113C2;R114C1;R114C2;R115C1;R115C2;R116C1;R116C2;R117C1;R117C2;R118C1;R118C2;R119C1;R119C2;R120C1;R120C2;R121C1;R121C2;R122C1")</f>
        <v>1</v>
      </c>
    </row>
    <row r="76" spans="1:1" x14ac:dyDescent="0.2">
      <c r="A76" t="e">
        <f>RUN("Macro5")</f>
        <v>#N/A</v>
      </c>
    </row>
    <row r="77" spans="1:1" x14ac:dyDescent="0.2">
      <c r="A77" t="b">
        <f>SELECT("R122C2;R123C1;R123C2;R124C1;R124C2;R125C1;R125C2;R126C1;R126C2;R127C1;R127C2;R128C1;R128C2;R129C1;R129C2;R130C1;R130C2;R131C1;R131C2;R132C1;R132C2;R133C1;R133C2;R134C1;R134C2;R135C1;R135C2;R136C1")</f>
        <v>1</v>
      </c>
    </row>
    <row r="78" spans="1:1" x14ac:dyDescent="0.2">
      <c r="A78" t="e">
        <f>RUN("Macro5")</f>
        <v>#N/A</v>
      </c>
    </row>
    <row r="79" spans="1:1" x14ac:dyDescent="0.2">
      <c r="A79" t="b">
        <f>SELECT("R136C2;R137C1;R137C2;R138C1;R138C2;R139C1;R139C2;R140C1;R140C2;R141C1;R141C2;R142C1;R142C2;R143C1;R143C2;R144C1;R144C2;R145C1;R145C2;R146C1;R146C2;R147C1;R147C2;R148C1;R148C2;R149C1;R149C2;R150C1")</f>
        <v>1</v>
      </c>
    </row>
    <row r="80" spans="1:1" x14ac:dyDescent="0.2">
      <c r="A80" t="e">
        <f>RUN("Macro5")</f>
        <v>#N/A</v>
      </c>
    </row>
    <row r="81" spans="1:1" x14ac:dyDescent="0.2">
      <c r="A81" t="b">
        <f>SELECT("R150C2;R151C1;R151C2;R152C1;R152C2;R153C1;R153C2;R154C1;R154C2;R155C1;R155C2;R156C1;R156C2;R157C1;R157C2;R158C1;R158C2;R159C1;R159C2;R160C1;R160C2;R161C1;R161C2;R162C1;R162C2;R163C1;R163C2;R164C1")</f>
        <v>1</v>
      </c>
    </row>
    <row r="82" spans="1:1" x14ac:dyDescent="0.2">
      <c r="A82" t="e">
        <f>RUN("Macro5")</f>
        <v>#N/A</v>
      </c>
    </row>
    <row r="83" spans="1:1" x14ac:dyDescent="0.2">
      <c r="A83" t="b">
        <f>SELECT("R164C2;R165C1;R165C2;R166C1;R166C2;R167C1;R167C2;R168C1;R168C2;R169C1;R169C2;R170C1;R170C2;R171C1;R171C2;R172C1;R172C2;R173C1;R173C2;R174C1;R174C2;R175C1;R175C2;R176C1;R176C2;R177C1;R177C2;R178C1")</f>
        <v>1</v>
      </c>
    </row>
    <row r="84" spans="1:1" x14ac:dyDescent="0.2">
      <c r="A84" t="e">
        <f>RUN("Macro5")</f>
        <v>#N/A</v>
      </c>
    </row>
    <row r="85" spans="1:1" x14ac:dyDescent="0.2">
      <c r="A85" t="b">
        <f>SELECT("R178C2;R179C1;R179C2;R180C1;R180C2;R181C1;R181C2;R182C1;R182C2;R183C1;R183C2;R184C1;R184C2;R185C1;R185C2;R186C1;R186C2;R187C1;R187C2;R188C1;R188C2;R189C1;R189C2;R190C1;R190C2;R191C1;R191C2;R192C1")</f>
        <v>1</v>
      </c>
    </row>
    <row r="86" spans="1:1" x14ac:dyDescent="0.2">
      <c r="A86" t="e">
        <f>RUN("Macro5")</f>
        <v>#N/A</v>
      </c>
    </row>
    <row r="87" spans="1:1" x14ac:dyDescent="0.2">
      <c r="A87" t="b">
        <f>SELECT("R192C2;R193C1;R193C2;R194C1;R194C2;R195C1;R195C2;R196C1;R196C2;R197C1;R197C2;R198C1;R198C2;R199C1;R199C2;R200C1;R200C2;R201C1;R201C2;R202C1;R202C2;R203C1;R203C2;R204C1;R204C2;R205C1;R205C2;R206C1")</f>
        <v>1</v>
      </c>
    </row>
    <row r="88" spans="1:1" x14ac:dyDescent="0.2">
      <c r="A88" t="e">
        <f>RUN("Macro5")</f>
        <v>#N/A</v>
      </c>
    </row>
    <row r="89" spans="1:1" x14ac:dyDescent="0.2">
      <c r="A89" t="b">
        <f>SELECT("R206C2;R207C1;R207C2;R208C1;R208C2;R209C1;R209C2;R210C1;R210C2;R211C1;R211C2;R212C1;R212C2;R213C1;R213C2;R214C1;R214C2;R215C1;R215C2;R216C1;R216C2;R217C1;R217C2;R218C1;R218C2;R219C1;R219C2;R220C1")</f>
        <v>1</v>
      </c>
    </row>
    <row r="90" spans="1:1" x14ac:dyDescent="0.2">
      <c r="A90" t="e">
        <f>RUN("Macro5")</f>
        <v>#N/A</v>
      </c>
    </row>
    <row r="91" spans="1:1" x14ac:dyDescent="0.2">
      <c r="A91" t="b">
        <f>SELECT("R220C2;R221C1;R221C2;R222C1;R222C2;R223C1;R223C2;R224C1;R224C2;R225C1;R225C2;R226C1;R226C2;R227C1;R227C2;R228C1;R228C2;R229C1;R229C2;R230C1;R230C2;R231C1;R231C2;R232C1;R232C2;R233C1;R233C2;R234C1")</f>
        <v>1</v>
      </c>
    </row>
    <row r="92" spans="1:1" x14ac:dyDescent="0.2">
      <c r="A92" t="e">
        <f>RUN("Macro5")</f>
        <v>#N/A</v>
      </c>
    </row>
    <row r="93" spans="1:1" x14ac:dyDescent="0.2">
      <c r="A93" t="b">
        <f>SELECT("R234C2;R235C1;R235C2;R236C1;R236C2;R237C1;R237C2;R238C1;R238C2;R239C1;R239C2;R240C1;R240C2;R241C1;R241C2;R242C1;R242C2;R243C1;R243C2;R244C1;R244C2;R245C1;R245C2;R246C1;R246C2;R247C1;R247C2;R248C1")</f>
        <v>1</v>
      </c>
    </row>
    <row r="94" spans="1:1" x14ac:dyDescent="0.2">
      <c r="A94" t="e">
        <f>RUN("Macro5")</f>
        <v>#N/A</v>
      </c>
    </row>
    <row r="95" spans="1:1" x14ac:dyDescent="0.2">
      <c r="A95" t="b">
        <f>SELECT("R248C2;R249C1;R249C2;R250C1;R250C2;R251C1;R251C2;R252C1;R252C2;R253C1;R253C2;R254C1;R254C2;R255C1;R255C2;R256C1;R256C2;R257C1;R257C2;R258C1;R258C2;R259C1;R259C2;R260C1;R260C2;R261C1;R261C2;R262C1")</f>
        <v>1</v>
      </c>
    </row>
    <row r="96" spans="1:1" x14ac:dyDescent="0.2">
      <c r="A96" t="e">
        <f>RUN("Macro5")</f>
        <v>#N/A</v>
      </c>
    </row>
    <row r="97" spans="1:1" x14ac:dyDescent="0.2">
      <c r="A97" t="b">
        <f>SELECT("R262C2;R263C1;R263C2;R264C1;R264C2;R265C1;R265C2;R266C1;R266C2;R267C1;R267C2;R268C1;R268C2;R269C1;R269C2;R270C1;R270C2;R271C1;R271C2;R272C1;R272C2;R273C1;R273C2;R274C1;R274C2;R275C1;R275C2;R276C1")</f>
        <v>1</v>
      </c>
    </row>
    <row r="98" spans="1:1" x14ac:dyDescent="0.2">
      <c r="A98" t="e">
        <f>RUN("Macro5")</f>
        <v>#N/A</v>
      </c>
    </row>
    <row r="99" spans="1:1" x14ac:dyDescent="0.2">
      <c r="A99" t="b">
        <f>SELECT("R276C2;R277C1;R277C2;R278C1;R278C2;R279C1;R279C2;R280C1;R280C2;R281C1;R281C2;R282C1;R282C2;R283C1;R283C2;R284C1;R284C2;R285C1;R285C2;R286C1;R286C2;R287C1;R287C2;R288C1;R288C2;R289C1;R289C2;R290C1")</f>
        <v>1</v>
      </c>
    </row>
    <row r="100" spans="1:1" x14ac:dyDescent="0.2">
      <c r="A100" t="e">
        <f>RUN("Macro5")</f>
        <v>#N/A</v>
      </c>
    </row>
    <row r="101" spans="1:1" x14ac:dyDescent="0.2">
      <c r="A101" t="b">
        <f>SELECT("R290C2;R291C1;R291C2;R292C1;R292C2;R293C1;R293C2;R294C1;R294C2;R295C1;R295C2;R296C1;R296C2;R297C1;R297C2;R298C1;R298C2;R299C1;R299C2;R300C1;R300C2;R301C1;R301C2;R302C1;R302C2;R303C1;R303C2;R304C1")</f>
        <v>1</v>
      </c>
    </row>
    <row r="102" spans="1:1" x14ac:dyDescent="0.2">
      <c r="A102" t="e">
        <f>RUN("Macro5")</f>
        <v>#N/A</v>
      </c>
    </row>
    <row r="103" spans="1:1" x14ac:dyDescent="0.2">
      <c r="A103" t="b">
        <f>SELECT("R304C2;R305C1;R305C2;R306C1;R306C2;R307C1;R307C2;R308C1;R308C2;R309C1;R309C2;R310C1;R310C2;R311C1;R311C2;R312C1;R312C2;R313C1;R313C2;R314C1;R314C2;R315C1;R315C2;R316C1;R316C2;R317C1;R317C2;R318C1")</f>
        <v>1</v>
      </c>
    </row>
    <row r="104" spans="1:1" x14ac:dyDescent="0.2">
      <c r="A104" t="e">
        <f>RUN("Macro5")</f>
        <v>#N/A</v>
      </c>
    </row>
    <row r="105" spans="1:1" x14ac:dyDescent="0.2">
      <c r="A105" t="b">
        <f>SELECT("R318C2;R319C1;R319C2;R320C1;R320C2;R321C1;R321C2;R322C1;R322C2;R323C1;R323C2;R324C1;R324C2;R325C1;R325C2;R326C1;R326C2;R327C1;R327C2;R328C1;R328C2;R329C1;R329C2;R330C1;R330C2;R331C1;R331C2;R332C1")</f>
        <v>1</v>
      </c>
    </row>
    <row r="106" spans="1:1" x14ac:dyDescent="0.2">
      <c r="A106" t="e">
        <f>RUN("Macro5")</f>
        <v>#N/A</v>
      </c>
    </row>
    <row r="107" spans="1:1" x14ac:dyDescent="0.2">
      <c r="A107" t="b">
        <f>SELECT("R332C2;R333C1;R333C2;R334C1;R334C2;R335C1;R335C2;R336C1;R336C2;R337C1;R337C2;R338C1;R338C2;R339C1;R339C2;R340C1;R340C2;R341C1;R341C2;R342C1;R342C2;R343C1;R343C2;R344C1;R344C2;R345C1;R345C2;R346C1")</f>
        <v>1</v>
      </c>
    </row>
    <row r="108" spans="1:1" x14ac:dyDescent="0.2">
      <c r="A108" t="e">
        <f>RUN("Macro5")</f>
        <v>#N/A</v>
      </c>
    </row>
    <row r="109" spans="1:1" x14ac:dyDescent="0.2">
      <c r="A109" t="b">
        <f>SELECT("R346C2;R347C1;R347C2;R348C1;R348C2;R349C1;R349C2;R350C1;R350C2;R351C1;R351C2;R352C1;R352C2;R353C1;R353C2;R354C1;R354C2;R355C1;R355C2;R356C1;R356C2;R357C1;R357C2;R358C1;R358C2;R359C1;R359C2;R360C1")</f>
        <v>1</v>
      </c>
    </row>
    <row r="110" spans="1:1" x14ac:dyDescent="0.2">
      <c r="A110" t="e">
        <f>RUN("Macro5")</f>
        <v>#N/A</v>
      </c>
    </row>
    <row r="111" spans="1:1" x14ac:dyDescent="0.2">
      <c r="A111" t="b">
        <f>SELECT("R360C2;R361C1;R361C2;R362C1;R362C2;R363C1;R363C2;R364C1;R364C2;R365C1;R365C2;R366C1;R366C2;R367C1;R367C2;R368C1;R368C2;R369C1;R369C2;R370C1;R370C2;R371C1;R371C2;R372C1;R372C2;R373C1;R373C2;R374C1")</f>
        <v>1</v>
      </c>
    </row>
    <row r="112" spans="1:1" x14ac:dyDescent="0.2">
      <c r="A112" t="e">
        <f>RUN("Macro5")</f>
        <v>#N/A</v>
      </c>
    </row>
    <row r="113" spans="1:1" x14ac:dyDescent="0.2">
      <c r="A113" t="b">
        <f>SELECT("R374C2;R375C1;R375C2;R376C1;R376C2;R377C1;R377C2;R378C1;R378C2;R379C1;R379C2;R380C1;R380C2;R381C1;R381C2;R382C1;R382C2;R383C1;R383C2;R384C1;R384C2;R385C1;R385C2;R386C1;R386C2;R387C1;R387C2;R388C1")</f>
        <v>1</v>
      </c>
    </row>
    <row r="114" spans="1:1" x14ac:dyDescent="0.2">
      <c r="A114" t="e">
        <f>RUN("Macro5")</f>
        <v>#N/A</v>
      </c>
    </row>
    <row r="115" spans="1:1" x14ac:dyDescent="0.2">
      <c r="A115" t="b">
        <f>SELECT("R388C2;R389C1;R389C2;R390C1;R390C2;R391C1;R391C2;R392C1;R392C2;R393C1;R393C2;R394C1;R394C2;R395C1;R395C2;R396C1;R396C2;R397C1;R397C2;R398C1;R398C2;R399C1;R399C2;R400C1;R400C2;R401C1;R401C2;R402C1")</f>
        <v>1</v>
      </c>
    </row>
    <row r="116" spans="1:1" x14ac:dyDescent="0.2">
      <c r="A116" t="e">
        <f>RUN("Macro5")</f>
        <v>#N/A</v>
      </c>
    </row>
    <row r="117" spans="1:1" x14ac:dyDescent="0.2">
      <c r="A117" t="b">
        <f>SELECT("R402C2;R403C1;R403C2;R404C1;R404C2;R405C1;R405C2;R406C1;R406C2;R407C1;R407C2;R408C1;R408C2;R409C1;R409C2;R410C1;R410C2;R411C1;R411C2;R412C1;R412C2;R413C1;R413C2;R414C1;R414C2;R415C1;R415C2;R416C1")</f>
        <v>1</v>
      </c>
    </row>
    <row r="118" spans="1:1" x14ac:dyDescent="0.2">
      <c r="A118" t="e">
        <f>RUN("Macro5")</f>
        <v>#N/A</v>
      </c>
    </row>
    <row r="119" spans="1:1" x14ac:dyDescent="0.2">
      <c r="A119" t="b">
        <f>SELECT("R416C2;R417C1;R417C2;R418C1;R418C2;R419C1;R419C2;R420C1;R420C2;R421C1;R421C2;R422C1;R422C2;R423C1;R423C2;R424C1;R424C2;R425C1;R425C2;R426C1;R426C2;R427C1;R427C2;R428C1;R428C2;R429C1;R429C2;R430C1")</f>
        <v>1</v>
      </c>
    </row>
    <row r="120" spans="1:1" x14ac:dyDescent="0.2">
      <c r="A120" t="e">
        <f>RUN("Macro5")</f>
        <v>#N/A</v>
      </c>
    </row>
    <row r="121" spans="1:1" x14ac:dyDescent="0.2">
      <c r="A121" t="b">
        <f>SELECT("R430C2;R431C1;R431C2;R432C1;R432C2;R433C1;R433C2;R434C1;R434C2;R435C1;R435C2;R436C1;R436C2;R437C1;R437C2;R438C1;R438C2;R439C1;R439C2;R440C1;R440C2;R441C1;R441C2;R442C1;R442C2;R443C1;R443C2;R444C1")</f>
        <v>1</v>
      </c>
    </row>
    <row r="122" spans="1:1" x14ac:dyDescent="0.2">
      <c r="A122" t="e">
        <f>RUN("Macro5")</f>
        <v>#N/A</v>
      </c>
    </row>
    <row r="123" spans="1:1" x14ac:dyDescent="0.2">
      <c r="A123" t="b">
        <f>SELECT("R444C2;R445C1;R445C2;R446C1;R446C2;R447C1;R447C2;R3C1")</f>
        <v>1</v>
      </c>
    </row>
    <row r="124" spans="1:1" x14ac:dyDescent="0.2">
      <c r="A124" t="e">
        <f>RUN("Macro5")</f>
        <v>#N/A</v>
      </c>
    </row>
    <row r="125" spans="1:1" x14ac:dyDescent="0.2">
      <c r="A125" t="b">
        <f>SELECT("R448C1:R448C2")</f>
        <v>1</v>
      </c>
    </row>
    <row r="126" spans="1:1" x14ac:dyDescent="0.2">
      <c r="A126" t="e">
        <f>RUN("Macro6")</f>
        <v>#N/A</v>
      </c>
    </row>
    <row r="127" spans="1:1" x14ac:dyDescent="0.2">
      <c r="A127" t="b">
        <f>SELECT("R6C1:R7C2;R8C4:R8C15;R9C3:R448C3;R5C5:R5C6;R6C5:R6C6;R5C8:R5C9;R6C8:R6C9;R5C11:R5C12;R6C11:R6C12;R5C14:R5C15;R6C14:R6C15;R448C2")</f>
        <v>1</v>
      </c>
    </row>
    <row r="128" spans="1:1" x14ac:dyDescent="0.2">
      <c r="A128" t="b">
        <f>CLEAR(3)</f>
        <v>1</v>
      </c>
    </row>
    <row r="129" spans="1:1" x14ac:dyDescent="0.2">
      <c r="A129" t="b">
        <f>SELECT("R448C4:R448C15;R448C14")</f>
        <v>1</v>
      </c>
    </row>
    <row r="130" spans="1:1" x14ac:dyDescent="0.2">
      <c r="A130" t="e">
        <f>RUN("Macro7")</f>
        <v>#N/A</v>
      </c>
    </row>
    <row r="131" spans="1:1" x14ac:dyDescent="0.2">
      <c r="A131" t="b">
        <f>RETURN()</f>
        <v>1</v>
      </c>
    </row>
    <row r="133" spans="1:1" x14ac:dyDescent="0.2">
      <c r="A133" t="s">
        <v>881</v>
      </c>
    </row>
    <row r="134" spans="1:1" x14ac:dyDescent="0.2">
      <c r="A134" t="b">
        <f>GOTO(OFFSET(LAST.ERROR(),1,0))</f>
        <v>0</v>
      </c>
    </row>
    <row r="135" spans="1:1" x14ac:dyDescent="0.2">
      <c r="A135" t="b">
        <f>RETURN()</f>
        <v>1</v>
      </c>
    </row>
    <row r="137" spans="1:1" x14ac:dyDescent="0.2">
      <c r="A137" t="s">
        <v>882</v>
      </c>
    </row>
    <row r="138" spans="1:1" x14ac:dyDescent="0.2">
      <c r="A138" t="b">
        <f>WORKBOOK.SELECT("Pagal atskirą kodą 2")</f>
        <v>1</v>
      </c>
    </row>
    <row r="139" spans="1:1" x14ac:dyDescent="0.2">
      <c r="A139" t="b">
        <f>SELECT("R9C6")</f>
        <v>1</v>
      </c>
    </row>
    <row r="140" spans="1:1" x14ac:dyDescent="0.2">
      <c r="A140" t="b">
        <f>FORMULA("=RC[-1]/RC[-2]*1000")</f>
        <v>1</v>
      </c>
    </row>
    <row r="141" spans="1:1" x14ac:dyDescent="0.2">
      <c r="A141" t="b">
        <f>COPY()</f>
        <v>1</v>
      </c>
    </row>
    <row r="142" spans="1:1" x14ac:dyDescent="0.2">
      <c r="A142" t="b">
        <f>SELECT("R9C6:R447C6")</f>
        <v>1</v>
      </c>
    </row>
    <row r="143" spans="1:1" x14ac:dyDescent="0.2">
      <c r="A143" t="b">
        <f>PASTE.SPECIAL(2,1,FALSE,FALSE)</f>
        <v>1</v>
      </c>
    </row>
    <row r="144" spans="1:1" x14ac:dyDescent="0.2">
      <c r="A144" t="b">
        <f>CANCEL.COPY()</f>
        <v>1</v>
      </c>
    </row>
    <row r="145" spans="1:1" x14ac:dyDescent="0.2">
      <c r="A145" t="b">
        <f>SELECT("R9C9")</f>
        <v>1</v>
      </c>
    </row>
    <row r="146" spans="1:1" x14ac:dyDescent="0.2">
      <c r="A146" t="b">
        <f>FORMULA("=RC[-1]/RC[-2]*1000")</f>
        <v>1</v>
      </c>
    </row>
    <row r="147" spans="1:1" x14ac:dyDescent="0.2">
      <c r="A147" t="b">
        <f>COPY()</f>
        <v>1</v>
      </c>
    </row>
    <row r="148" spans="1:1" x14ac:dyDescent="0.2">
      <c r="A148" t="b">
        <f>SELECT("R9C9:R447C9")</f>
        <v>1</v>
      </c>
    </row>
    <row r="149" spans="1:1" x14ac:dyDescent="0.2">
      <c r="A149" t="b">
        <f>PASTE.SPECIAL(2,1,FALSE,FALSE)</f>
        <v>1</v>
      </c>
    </row>
    <row r="150" spans="1:1" x14ac:dyDescent="0.2">
      <c r="A150" t="b">
        <f>CANCEL.COPY()</f>
        <v>1</v>
      </c>
    </row>
    <row r="151" spans="1:1" x14ac:dyDescent="0.2">
      <c r="A151" t="b">
        <f>SELECT("R9C12")</f>
        <v>1</v>
      </c>
    </row>
    <row r="152" spans="1:1" x14ac:dyDescent="0.2">
      <c r="A152" t="b">
        <f>FORMULA("=RC[-1]/RC[-2]*1000")</f>
        <v>1</v>
      </c>
    </row>
    <row r="153" spans="1:1" x14ac:dyDescent="0.2">
      <c r="A153" t="b">
        <f>COPY()</f>
        <v>1</v>
      </c>
    </row>
    <row r="154" spans="1:1" x14ac:dyDescent="0.2">
      <c r="A154" t="b">
        <f>SELECT("R9C12:R447C12")</f>
        <v>1</v>
      </c>
    </row>
    <row r="155" spans="1:1" x14ac:dyDescent="0.2">
      <c r="A155" t="b">
        <f>PASTE.SPECIAL(2,1,FALSE,FALSE)</f>
        <v>1</v>
      </c>
    </row>
    <row r="156" spans="1:1" x14ac:dyDescent="0.2">
      <c r="A156" t="b">
        <f>CANCEL.COPY()</f>
        <v>1</v>
      </c>
    </row>
    <row r="157" spans="1:1" x14ac:dyDescent="0.2">
      <c r="A157" t="b">
        <f>SELECT("R9C15")</f>
        <v>1</v>
      </c>
    </row>
    <row r="158" spans="1:1" x14ac:dyDescent="0.2">
      <c r="A158" t="b">
        <f>FORMULA("=RC[-1]/RC[-2]*1000")</f>
        <v>1</v>
      </c>
    </row>
    <row r="159" spans="1:1" x14ac:dyDescent="0.2">
      <c r="A159" t="b">
        <f>COPY()</f>
        <v>1</v>
      </c>
    </row>
    <row r="160" spans="1:1" x14ac:dyDescent="0.2">
      <c r="A160" t="b">
        <f>SELECT("R9C15:R447C15")</f>
        <v>1</v>
      </c>
    </row>
    <row r="161" spans="1:1" x14ac:dyDescent="0.2">
      <c r="A161" t="b">
        <f>PASTE.SPECIAL(2,1,FALSE,FALSE)</f>
        <v>1</v>
      </c>
    </row>
    <row r="162" spans="1:1" x14ac:dyDescent="0.2">
      <c r="A162" t="b">
        <f>CANCEL.COPY()</f>
        <v>1</v>
      </c>
    </row>
    <row r="163" spans="1:1" x14ac:dyDescent="0.2">
      <c r="A163" t="b">
        <f>RETURN()</f>
        <v>1</v>
      </c>
    </row>
  </sheetData>
  <pageMargins left="0.75" right="0.75" top="1" bottom="1" header="0.5" footer="0.5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435"/>
  <sheetViews>
    <sheetView tabSelected="1" zoomScaleNormal="124" zoomScaleSheetLayoutView="67" workbookViewId="0">
      <selection activeCell="Q109" sqref="Q109"/>
    </sheetView>
  </sheetViews>
  <sheetFormatPr defaultRowHeight="12.75" x14ac:dyDescent="0.2"/>
  <cols>
    <col min="1" max="1" width="9.7109375" customWidth="1"/>
    <col min="2" max="2" width="40.42578125" customWidth="1"/>
    <col min="3" max="3" width="11.85546875" customWidth="1"/>
    <col min="4" max="4" width="9.28515625" customWidth="1"/>
    <col min="5" max="5" width="11.140625" customWidth="1"/>
    <col min="6" max="6" width="12.28515625" customWidth="1"/>
    <col min="7" max="7" width="11.28515625" customWidth="1"/>
    <col min="8" max="8" width="9.42578125" customWidth="1"/>
    <col min="9" max="9" width="10.85546875" customWidth="1"/>
    <col min="10" max="10" width="11.85546875" customWidth="1"/>
  </cols>
  <sheetData>
    <row r="1" spans="1:10" x14ac:dyDescent="0.2">
      <c r="A1" s="3"/>
      <c r="B1" s="4"/>
      <c r="C1" s="7" t="s">
        <v>0</v>
      </c>
      <c r="D1" s="8"/>
      <c r="E1" s="7" t="s">
        <v>1</v>
      </c>
      <c r="F1" s="8"/>
      <c r="G1" s="7" t="s">
        <v>2</v>
      </c>
      <c r="H1" s="8"/>
      <c r="I1" s="7" t="s">
        <v>3</v>
      </c>
      <c r="J1" s="8"/>
    </row>
    <row r="2" spans="1:10" ht="51" x14ac:dyDescent="0.2">
      <c r="A2" s="5" t="s">
        <v>6</v>
      </c>
      <c r="B2" s="5" t="s">
        <v>7</v>
      </c>
      <c r="C2" s="6" t="s">
        <v>4</v>
      </c>
      <c r="D2" s="6" t="s">
        <v>5</v>
      </c>
      <c r="E2" s="6" t="s">
        <v>4</v>
      </c>
      <c r="F2" s="6" t="s">
        <v>5</v>
      </c>
      <c r="G2" s="6" t="s">
        <v>4</v>
      </c>
      <c r="H2" s="6" t="s">
        <v>5</v>
      </c>
      <c r="I2" s="6" t="s">
        <v>4</v>
      </c>
      <c r="J2" s="6" t="s">
        <v>5</v>
      </c>
    </row>
    <row r="3" spans="1:10" x14ac:dyDescent="0.2">
      <c r="A3" s="5" t="s">
        <v>8</v>
      </c>
      <c r="B3" s="5" t="s">
        <v>9</v>
      </c>
      <c r="C3" s="1">
        <v>347</v>
      </c>
      <c r="D3" s="2">
        <v>2199.5677233429392</v>
      </c>
      <c r="E3" s="1">
        <v>348</v>
      </c>
      <c r="F3" s="2">
        <v>2333.82183908046</v>
      </c>
      <c r="G3" s="1">
        <v>346</v>
      </c>
      <c r="H3" s="2">
        <v>2302.2254335260113</v>
      </c>
      <c r="I3" s="1">
        <v>343</v>
      </c>
      <c r="J3" s="2">
        <v>2496.8513119533527</v>
      </c>
    </row>
    <row r="4" spans="1:10" x14ac:dyDescent="0.2">
      <c r="A4" s="5" t="s">
        <v>10</v>
      </c>
      <c r="B4" s="5" t="s">
        <v>11</v>
      </c>
      <c r="C4" s="1">
        <v>3649</v>
      </c>
      <c r="D4" s="2">
        <v>953.60646752534944</v>
      </c>
      <c r="E4" s="1">
        <v>3583</v>
      </c>
      <c r="F4" s="2">
        <v>969.87440692157406</v>
      </c>
      <c r="G4" s="1">
        <v>3445</v>
      </c>
      <c r="H4" s="2">
        <v>1003.0856313497823</v>
      </c>
      <c r="I4" s="1">
        <v>3326</v>
      </c>
      <c r="J4" s="2">
        <v>1087.2549609140108</v>
      </c>
    </row>
    <row r="5" spans="1:10" x14ac:dyDescent="0.2">
      <c r="A5" s="5" t="s">
        <v>12</v>
      </c>
      <c r="B5" s="5" t="s">
        <v>13</v>
      </c>
      <c r="C5" s="1">
        <v>583</v>
      </c>
      <c r="D5" s="2">
        <v>924.47684391080622</v>
      </c>
      <c r="E5" s="1">
        <v>568</v>
      </c>
      <c r="F5" s="2">
        <v>972.83450704225356</v>
      </c>
      <c r="G5" s="1">
        <v>554</v>
      </c>
      <c r="H5" s="2">
        <v>1005.0902527075814</v>
      </c>
      <c r="I5" s="1">
        <v>546</v>
      </c>
      <c r="J5" s="2">
        <v>1075.0366300366302</v>
      </c>
    </row>
    <row r="6" spans="1:10" x14ac:dyDescent="0.2">
      <c r="A6" s="5" t="s">
        <v>14</v>
      </c>
      <c r="B6" s="5" t="s">
        <v>15</v>
      </c>
      <c r="C6" s="1">
        <v>330</v>
      </c>
      <c r="D6" s="2">
        <v>1208.6969696969695</v>
      </c>
      <c r="E6" s="1">
        <v>340</v>
      </c>
      <c r="F6" s="2">
        <v>1200.0588235294117</v>
      </c>
      <c r="G6" s="1">
        <v>323</v>
      </c>
      <c r="H6" s="2">
        <v>1332.5077399380807</v>
      </c>
      <c r="I6" s="1">
        <v>299</v>
      </c>
      <c r="J6" s="2">
        <v>1390.6688963210702</v>
      </c>
    </row>
    <row r="7" spans="1:10" x14ac:dyDescent="0.2">
      <c r="A7" s="5" t="s">
        <v>16</v>
      </c>
      <c r="B7" s="5" t="s">
        <v>17</v>
      </c>
      <c r="C7" s="1">
        <v>51313</v>
      </c>
      <c r="D7" s="2">
        <v>731.20222945452417</v>
      </c>
      <c r="E7" s="1">
        <v>51439</v>
      </c>
      <c r="F7" s="2">
        <v>757.11327980715032</v>
      </c>
      <c r="G7" s="1">
        <v>50100</v>
      </c>
      <c r="H7" s="2">
        <v>821.16487025948106</v>
      </c>
      <c r="I7" s="1">
        <v>48748</v>
      </c>
      <c r="J7" s="2">
        <v>883.56753097562978</v>
      </c>
    </row>
    <row r="8" spans="1:10" x14ac:dyDescent="0.2">
      <c r="A8" s="5" t="s">
        <v>18</v>
      </c>
      <c r="B8" s="5" t="s">
        <v>19</v>
      </c>
      <c r="C8" s="1">
        <v>12177</v>
      </c>
      <c r="D8" s="2">
        <v>1073.9829186170648</v>
      </c>
      <c r="E8" s="1">
        <v>12137</v>
      </c>
      <c r="F8" s="2">
        <v>1093.2693416824586</v>
      </c>
      <c r="G8" s="1">
        <v>11919</v>
      </c>
      <c r="H8" s="2">
        <v>1162.9448779260006</v>
      </c>
      <c r="I8" s="1">
        <v>11573</v>
      </c>
      <c r="J8" s="2">
        <v>1287.3706039920505</v>
      </c>
    </row>
    <row r="9" spans="1:10" x14ac:dyDescent="0.2">
      <c r="A9" s="5" t="s">
        <v>20</v>
      </c>
      <c r="B9" s="5" t="s">
        <v>21</v>
      </c>
      <c r="C9" s="1">
        <v>2439</v>
      </c>
      <c r="D9" s="2">
        <v>1007.4251742517426</v>
      </c>
      <c r="E9" s="1">
        <v>2486</v>
      </c>
      <c r="F9" s="2">
        <v>1008.0008045052293</v>
      </c>
      <c r="G9" s="1">
        <v>2518</v>
      </c>
      <c r="H9" s="2">
        <v>1075.4328832406673</v>
      </c>
      <c r="I9" s="1">
        <v>2557</v>
      </c>
      <c r="J9" s="2">
        <v>1188.8228392647636</v>
      </c>
    </row>
    <row r="10" spans="1:10" x14ac:dyDescent="0.2">
      <c r="A10" s="5" t="s">
        <v>22</v>
      </c>
      <c r="B10" s="5" t="s">
        <v>23</v>
      </c>
      <c r="C10" s="1">
        <v>2514</v>
      </c>
      <c r="D10" s="2">
        <v>1349.8727128082737</v>
      </c>
      <c r="E10" s="1">
        <v>2413</v>
      </c>
      <c r="F10" s="2">
        <v>1385.7646083713221</v>
      </c>
      <c r="G10" s="1">
        <v>2267</v>
      </c>
      <c r="H10" s="2">
        <v>1399.4441993824439</v>
      </c>
      <c r="I10" s="1">
        <v>2154</v>
      </c>
      <c r="J10" s="2">
        <v>1496.7409470752089</v>
      </c>
    </row>
    <row r="11" spans="1:10" x14ac:dyDescent="0.2">
      <c r="A11" s="5" t="s">
        <v>24</v>
      </c>
      <c r="B11" s="5" t="s">
        <v>25</v>
      </c>
      <c r="C11" s="1">
        <v>23239</v>
      </c>
      <c r="D11" s="2">
        <v>685.71022849520216</v>
      </c>
      <c r="E11" s="1">
        <v>24319</v>
      </c>
      <c r="F11" s="2">
        <v>702.26612936387187</v>
      </c>
      <c r="G11" s="1">
        <v>25138</v>
      </c>
      <c r="H11" s="2">
        <v>749.94390961890372</v>
      </c>
      <c r="I11" s="1">
        <v>25729</v>
      </c>
      <c r="J11" s="2">
        <v>835.55637607369113</v>
      </c>
    </row>
    <row r="12" spans="1:10" x14ac:dyDescent="0.2">
      <c r="A12" s="5" t="s">
        <v>26</v>
      </c>
      <c r="B12" s="5" t="s">
        <v>27</v>
      </c>
      <c r="C12" s="1">
        <v>17975</v>
      </c>
      <c r="D12" s="2">
        <v>947.72350486787218</v>
      </c>
      <c r="E12" s="1">
        <v>18407</v>
      </c>
      <c r="F12" s="2">
        <v>985.72934209811478</v>
      </c>
      <c r="G12" s="1">
        <v>18648</v>
      </c>
      <c r="H12" s="2">
        <v>1091.0869798369797</v>
      </c>
      <c r="I12" s="1">
        <v>18442</v>
      </c>
      <c r="J12" s="2">
        <v>1213.7533890033621</v>
      </c>
    </row>
    <row r="13" spans="1:10" x14ac:dyDescent="0.2">
      <c r="A13" s="5" t="s">
        <v>28</v>
      </c>
      <c r="B13" s="5" t="s">
        <v>29</v>
      </c>
      <c r="C13" s="1">
        <v>1071</v>
      </c>
      <c r="D13" s="2">
        <v>1014.9299719887954</v>
      </c>
      <c r="E13" s="1">
        <v>1150</v>
      </c>
      <c r="F13" s="2">
        <v>1054.2521739130434</v>
      </c>
      <c r="G13" s="1">
        <v>1166</v>
      </c>
      <c r="H13" s="2">
        <v>1071.1578044596913</v>
      </c>
      <c r="I13" s="1">
        <v>1107</v>
      </c>
      <c r="J13" s="2">
        <v>1198.7533875338754</v>
      </c>
    </row>
    <row r="14" spans="1:10" x14ac:dyDescent="0.2">
      <c r="A14" s="5" t="s">
        <v>30</v>
      </c>
      <c r="B14" s="5" t="s">
        <v>31</v>
      </c>
      <c r="C14" s="1">
        <v>1257</v>
      </c>
      <c r="D14" s="2">
        <v>1408.9339697692919</v>
      </c>
      <c r="E14" s="1">
        <v>1238</v>
      </c>
      <c r="F14" s="2">
        <v>1487.3667205169629</v>
      </c>
      <c r="G14" s="1">
        <v>1232</v>
      </c>
      <c r="H14" s="2">
        <v>1594.8133116883116</v>
      </c>
      <c r="I14" s="1">
        <v>1189</v>
      </c>
      <c r="J14" s="2">
        <v>1766.8124474348194</v>
      </c>
    </row>
    <row r="15" spans="1:10" x14ac:dyDescent="0.2">
      <c r="A15" s="5" t="s">
        <v>32</v>
      </c>
      <c r="B15" s="5" t="s">
        <v>33</v>
      </c>
      <c r="C15" s="1">
        <v>1487</v>
      </c>
      <c r="D15" s="2">
        <v>790.97511768661741</v>
      </c>
      <c r="E15" s="1">
        <v>1476</v>
      </c>
      <c r="F15" s="2">
        <v>815.88075880758799</v>
      </c>
      <c r="G15" s="1">
        <v>1416</v>
      </c>
      <c r="H15" s="2">
        <v>853.60875706214688</v>
      </c>
      <c r="I15" s="1">
        <v>1495</v>
      </c>
      <c r="J15" s="2">
        <v>984.3946488294315</v>
      </c>
    </row>
    <row r="16" spans="1:10" x14ac:dyDescent="0.2">
      <c r="A16" s="5" t="s">
        <v>34</v>
      </c>
      <c r="B16" s="5" t="s">
        <v>35</v>
      </c>
      <c r="C16" s="1">
        <v>80</v>
      </c>
      <c r="D16" s="2">
        <v>700.375</v>
      </c>
      <c r="E16" s="1">
        <v>84</v>
      </c>
      <c r="F16" s="2">
        <v>679.28571428571422</v>
      </c>
      <c r="G16" s="1">
        <v>81</v>
      </c>
      <c r="H16" s="2">
        <v>675.6790123456791</v>
      </c>
      <c r="I16" s="1">
        <v>75</v>
      </c>
      <c r="J16" s="2">
        <v>717.4666666666667</v>
      </c>
    </row>
    <row r="17" spans="1:10" x14ac:dyDescent="0.2">
      <c r="A17" s="5" t="s">
        <v>36</v>
      </c>
      <c r="B17" s="5" t="s">
        <v>37</v>
      </c>
      <c r="C17" s="1">
        <v>9431</v>
      </c>
      <c r="D17" s="2">
        <v>1014.2519351076238</v>
      </c>
      <c r="E17" s="1">
        <v>9232</v>
      </c>
      <c r="F17" s="2">
        <v>1065.5578422876949</v>
      </c>
      <c r="G17" s="1">
        <v>9086</v>
      </c>
      <c r="H17" s="2">
        <v>1162.5137574290115</v>
      </c>
      <c r="I17" s="1">
        <v>8721</v>
      </c>
      <c r="J17" s="2">
        <v>1275.4294232312809</v>
      </c>
    </row>
    <row r="18" spans="1:10" x14ac:dyDescent="0.2">
      <c r="A18" s="5" t="s">
        <v>38</v>
      </c>
      <c r="B18" s="5" t="s">
        <v>39</v>
      </c>
      <c r="C18" s="1">
        <v>219</v>
      </c>
      <c r="D18" s="2">
        <v>728.76712328767121</v>
      </c>
      <c r="E18" s="1">
        <v>205</v>
      </c>
      <c r="F18" s="2">
        <v>748.19512195121956</v>
      </c>
      <c r="G18" s="1">
        <v>191</v>
      </c>
      <c r="H18" s="2">
        <v>880.3664921465969</v>
      </c>
      <c r="I18" s="1">
        <v>193</v>
      </c>
      <c r="J18" s="2">
        <v>960.41450777202078</v>
      </c>
    </row>
    <row r="19" spans="1:10" x14ac:dyDescent="0.2">
      <c r="A19" s="5" t="s">
        <v>40</v>
      </c>
      <c r="B19" s="5" t="s">
        <v>41</v>
      </c>
      <c r="C19" s="1">
        <v>5900</v>
      </c>
      <c r="D19" s="2">
        <v>764.32372881355934</v>
      </c>
      <c r="E19" s="1">
        <v>5981</v>
      </c>
      <c r="F19" s="2">
        <v>787.26634342083264</v>
      </c>
      <c r="G19" s="1">
        <v>6047</v>
      </c>
      <c r="H19" s="2">
        <v>841.48503390110795</v>
      </c>
      <c r="I19" s="1">
        <v>6121</v>
      </c>
      <c r="J19" s="2">
        <v>963.72651527528183</v>
      </c>
    </row>
    <row r="20" spans="1:10" x14ac:dyDescent="0.2">
      <c r="A20" s="5" t="s">
        <v>42</v>
      </c>
      <c r="B20" s="5" t="s">
        <v>43</v>
      </c>
      <c r="C20" s="1">
        <v>3809</v>
      </c>
      <c r="D20" s="2">
        <v>881.79837227618793</v>
      </c>
      <c r="E20" s="1">
        <v>3780</v>
      </c>
      <c r="F20" s="2">
        <v>916.34126984126988</v>
      </c>
      <c r="G20" s="1">
        <v>3641</v>
      </c>
      <c r="H20" s="2">
        <v>1019.4067563856084</v>
      </c>
      <c r="I20" s="1">
        <v>3484</v>
      </c>
      <c r="J20" s="2">
        <v>1139.7531572904707</v>
      </c>
    </row>
    <row r="21" spans="1:10" x14ac:dyDescent="0.2">
      <c r="A21" s="5" t="s">
        <v>44</v>
      </c>
      <c r="B21" s="5" t="s">
        <v>45</v>
      </c>
      <c r="C21" s="1">
        <v>1897</v>
      </c>
      <c r="D21" s="2">
        <v>1847.3220875065892</v>
      </c>
      <c r="E21" s="1">
        <v>1878</v>
      </c>
      <c r="F21" s="2">
        <v>1851.5708200212991</v>
      </c>
      <c r="G21" s="1">
        <v>1869</v>
      </c>
      <c r="H21" s="2">
        <v>2059.0850722311397</v>
      </c>
      <c r="I21" s="1">
        <v>1880</v>
      </c>
      <c r="J21" s="2">
        <v>2238.7925531914898</v>
      </c>
    </row>
    <row r="22" spans="1:10" x14ac:dyDescent="0.2">
      <c r="A22" s="5" t="s">
        <v>46</v>
      </c>
      <c r="B22" s="5" t="s">
        <v>47</v>
      </c>
      <c r="C22" s="1">
        <v>783</v>
      </c>
      <c r="D22" s="2">
        <v>837.52234993614309</v>
      </c>
      <c r="E22" s="1">
        <v>747</v>
      </c>
      <c r="F22" s="2">
        <v>842.22222222222217</v>
      </c>
      <c r="G22" s="1">
        <v>708</v>
      </c>
      <c r="H22" s="2">
        <v>901.85028248587571</v>
      </c>
      <c r="I22" s="1">
        <v>719</v>
      </c>
      <c r="J22" s="2">
        <v>935.85535465924897</v>
      </c>
    </row>
    <row r="23" spans="1:10" x14ac:dyDescent="0.2">
      <c r="A23" s="5" t="s">
        <v>48</v>
      </c>
      <c r="B23" s="5" t="s">
        <v>49</v>
      </c>
      <c r="C23" s="1">
        <v>1556</v>
      </c>
      <c r="D23" s="2">
        <v>1102.2043701799487</v>
      </c>
      <c r="E23" s="1">
        <v>1522</v>
      </c>
      <c r="F23" s="2">
        <v>1145.3022339027596</v>
      </c>
      <c r="G23" s="1">
        <v>1480</v>
      </c>
      <c r="H23" s="2">
        <v>1241.9121621621621</v>
      </c>
      <c r="I23" s="1">
        <v>1425</v>
      </c>
      <c r="J23" s="2">
        <v>1278.098245614035</v>
      </c>
    </row>
    <row r="24" spans="1:10" x14ac:dyDescent="0.2">
      <c r="A24" s="5" t="s">
        <v>50</v>
      </c>
      <c r="B24" s="5" t="s">
        <v>51</v>
      </c>
      <c r="C24" s="1">
        <v>202</v>
      </c>
      <c r="D24" s="2">
        <v>765.19801980198019</v>
      </c>
      <c r="E24" s="1">
        <v>202</v>
      </c>
      <c r="F24" s="2">
        <v>772.02970297029719</v>
      </c>
      <c r="G24" s="1">
        <v>205</v>
      </c>
      <c r="H24" s="2">
        <v>825.21951219512198</v>
      </c>
      <c r="I24" s="1">
        <v>196</v>
      </c>
      <c r="J24" s="2">
        <v>956.32653061224494</v>
      </c>
    </row>
    <row r="25" spans="1:10" x14ac:dyDescent="0.2">
      <c r="A25" s="5" t="s">
        <v>52</v>
      </c>
      <c r="B25" s="5" t="s">
        <v>53</v>
      </c>
      <c r="C25" s="1">
        <v>75</v>
      </c>
      <c r="D25" s="2">
        <v>666.40000000000009</v>
      </c>
      <c r="E25" s="1">
        <v>70</v>
      </c>
      <c r="F25" s="2">
        <v>699.85714285714289</v>
      </c>
      <c r="G25" s="1">
        <v>69</v>
      </c>
      <c r="H25" s="2">
        <v>749.13043478260863</v>
      </c>
      <c r="I25" s="1">
        <v>89</v>
      </c>
      <c r="J25" s="2">
        <v>802.02247191011236</v>
      </c>
    </row>
    <row r="26" spans="1:10" x14ac:dyDescent="0.2">
      <c r="A26" s="5" t="s">
        <v>54</v>
      </c>
      <c r="B26" s="5" t="s">
        <v>55</v>
      </c>
      <c r="C26" s="1">
        <v>2702</v>
      </c>
      <c r="D26" s="2">
        <v>1120.1924500370096</v>
      </c>
      <c r="E26" s="1">
        <v>2648</v>
      </c>
      <c r="F26" s="2">
        <v>1118.7726586102719</v>
      </c>
      <c r="G26" s="1">
        <v>2472</v>
      </c>
      <c r="H26" s="2">
        <v>1157.0226537216827</v>
      </c>
      <c r="I26" s="1">
        <v>2421</v>
      </c>
      <c r="J26" s="2">
        <v>1213.8248657579513</v>
      </c>
    </row>
    <row r="27" spans="1:10" x14ac:dyDescent="0.2">
      <c r="A27" s="5" t="s">
        <v>56</v>
      </c>
      <c r="B27" s="5" t="s">
        <v>57</v>
      </c>
      <c r="C27" s="1">
        <v>925</v>
      </c>
      <c r="D27" s="2">
        <v>2321.5351351351355</v>
      </c>
      <c r="E27" s="1">
        <v>857</v>
      </c>
      <c r="F27" s="2">
        <v>2027.5612602100352</v>
      </c>
      <c r="G27" s="1">
        <v>810</v>
      </c>
      <c r="H27" s="2">
        <v>2420.2345679012346</v>
      </c>
      <c r="I27" s="1">
        <v>774</v>
      </c>
      <c r="J27" s="2">
        <v>2421.0335917312664</v>
      </c>
    </row>
    <row r="28" spans="1:10" x14ac:dyDescent="0.2">
      <c r="A28" s="5" t="s">
        <v>58</v>
      </c>
      <c r="B28" s="5" t="s">
        <v>59</v>
      </c>
      <c r="C28" s="1">
        <v>4352</v>
      </c>
      <c r="D28" s="2">
        <v>1090.5583639705883</v>
      </c>
      <c r="E28" s="1">
        <v>4216</v>
      </c>
      <c r="F28" s="2">
        <v>1101.4326375711576</v>
      </c>
      <c r="G28" s="1">
        <v>4052</v>
      </c>
      <c r="H28" s="2">
        <v>1203.8820335636722</v>
      </c>
      <c r="I28" s="1">
        <v>3901</v>
      </c>
      <c r="J28" s="2">
        <v>1292.2532683927197</v>
      </c>
    </row>
    <row r="29" spans="1:10" x14ac:dyDescent="0.2">
      <c r="A29" s="5" t="s">
        <v>60</v>
      </c>
      <c r="B29" s="5" t="s">
        <v>61</v>
      </c>
      <c r="C29" s="1">
        <v>314</v>
      </c>
      <c r="D29" s="2">
        <v>728.24840764331213</v>
      </c>
      <c r="E29" s="1">
        <v>321</v>
      </c>
      <c r="F29" s="2">
        <v>787.6635514018692</v>
      </c>
      <c r="G29" s="1">
        <v>334</v>
      </c>
      <c r="H29" s="2">
        <v>906.01796407185634</v>
      </c>
      <c r="I29" s="1">
        <v>326</v>
      </c>
      <c r="J29" s="2">
        <v>993.71165644171776</v>
      </c>
    </row>
    <row r="30" spans="1:10" x14ac:dyDescent="0.2">
      <c r="A30" s="5" t="s">
        <v>62</v>
      </c>
      <c r="B30" s="5" t="s">
        <v>63</v>
      </c>
      <c r="C30" s="1">
        <v>1445</v>
      </c>
      <c r="D30" s="2">
        <v>513.19031141868516</v>
      </c>
      <c r="E30" s="1">
        <v>1442</v>
      </c>
      <c r="F30" s="2">
        <v>542.22607489597783</v>
      </c>
      <c r="G30" s="1">
        <v>1403</v>
      </c>
      <c r="H30" s="2">
        <v>581.81040627227367</v>
      </c>
      <c r="I30" s="1">
        <v>1346</v>
      </c>
      <c r="J30" s="2">
        <v>656.99108469539385</v>
      </c>
    </row>
    <row r="31" spans="1:10" x14ac:dyDescent="0.2">
      <c r="A31" s="5" t="s">
        <v>64</v>
      </c>
      <c r="B31" s="5" t="s">
        <v>65</v>
      </c>
      <c r="C31" s="1">
        <v>4560</v>
      </c>
      <c r="D31" s="2">
        <v>669.65570175438597</v>
      </c>
      <c r="E31" s="1">
        <v>4591</v>
      </c>
      <c r="F31" s="2">
        <v>780.05009801786105</v>
      </c>
      <c r="G31" s="1">
        <v>4409</v>
      </c>
      <c r="H31" s="2">
        <v>853.98956679519165</v>
      </c>
      <c r="I31" s="1">
        <v>4140</v>
      </c>
      <c r="J31" s="2">
        <v>892.90821256038646</v>
      </c>
    </row>
    <row r="32" spans="1:10" x14ac:dyDescent="0.2">
      <c r="A32" s="5" t="s">
        <v>66</v>
      </c>
      <c r="B32" s="5" t="s">
        <v>67</v>
      </c>
      <c r="C32" s="1">
        <v>1307</v>
      </c>
      <c r="D32" s="2">
        <v>546.14384085692427</v>
      </c>
      <c r="E32" s="1">
        <v>1266</v>
      </c>
      <c r="F32" s="2">
        <v>569.76303317535553</v>
      </c>
      <c r="G32" s="1">
        <v>1234</v>
      </c>
      <c r="H32" s="2">
        <v>607.27714748784445</v>
      </c>
      <c r="I32" s="1">
        <v>1227</v>
      </c>
      <c r="J32" s="2">
        <v>654.53952730236358</v>
      </c>
    </row>
    <row r="33" spans="1:10" x14ac:dyDescent="0.2">
      <c r="A33" s="5" t="s">
        <v>68</v>
      </c>
      <c r="B33" s="5" t="s">
        <v>69</v>
      </c>
      <c r="C33" s="1">
        <v>2008</v>
      </c>
      <c r="D33" s="2">
        <v>554.64143426294822</v>
      </c>
      <c r="E33" s="1">
        <v>2040</v>
      </c>
      <c r="F33" s="2">
        <v>609.4019607843137</v>
      </c>
      <c r="G33" s="1">
        <v>2070</v>
      </c>
      <c r="H33" s="2">
        <v>644.6521739130435</v>
      </c>
      <c r="I33" s="1">
        <v>2093</v>
      </c>
      <c r="J33" s="2">
        <v>755.94362159579555</v>
      </c>
    </row>
    <row r="34" spans="1:10" x14ac:dyDescent="0.2">
      <c r="A34" s="5" t="s">
        <v>70</v>
      </c>
      <c r="B34" s="5" t="s">
        <v>71</v>
      </c>
      <c r="C34" s="1">
        <v>791</v>
      </c>
      <c r="D34" s="2">
        <v>1079.4943109987357</v>
      </c>
      <c r="E34" s="1">
        <v>824</v>
      </c>
      <c r="F34" s="2">
        <v>1084.0776699029127</v>
      </c>
      <c r="G34" s="1">
        <v>866</v>
      </c>
      <c r="H34" s="2">
        <v>1179.3648960739031</v>
      </c>
      <c r="I34" s="1">
        <v>898</v>
      </c>
      <c r="J34" s="2">
        <v>1244.2093541202673</v>
      </c>
    </row>
    <row r="35" spans="1:10" x14ac:dyDescent="0.2">
      <c r="A35" s="5" t="s">
        <v>72</v>
      </c>
      <c r="B35" s="5" t="s">
        <v>73</v>
      </c>
      <c r="C35" s="1">
        <v>72</v>
      </c>
      <c r="D35" s="2">
        <v>590.97222222222229</v>
      </c>
      <c r="E35" s="1">
        <v>81</v>
      </c>
      <c r="F35" s="2">
        <v>622.09876543209873</v>
      </c>
      <c r="G35" s="1">
        <v>85</v>
      </c>
      <c r="H35" s="2">
        <v>599.05882352941171</v>
      </c>
      <c r="I35" s="1">
        <v>82</v>
      </c>
      <c r="J35" s="2">
        <v>653.29268292682934</v>
      </c>
    </row>
    <row r="36" spans="1:10" x14ac:dyDescent="0.2">
      <c r="A36" s="5" t="s">
        <v>74</v>
      </c>
      <c r="B36" s="5" t="s">
        <v>75</v>
      </c>
      <c r="C36" s="1">
        <v>1080</v>
      </c>
      <c r="D36" s="2">
        <v>786.46296296296293</v>
      </c>
      <c r="E36" s="1">
        <v>1142</v>
      </c>
      <c r="F36" s="2">
        <v>791.2259194395798</v>
      </c>
      <c r="G36" s="1">
        <v>1152</v>
      </c>
      <c r="H36" s="2">
        <v>823.86284722222229</v>
      </c>
      <c r="I36" s="1">
        <v>1225</v>
      </c>
      <c r="J36" s="2">
        <v>973.90204081632646</v>
      </c>
    </row>
    <row r="37" spans="1:10" x14ac:dyDescent="0.2">
      <c r="A37" s="5" t="s">
        <v>76</v>
      </c>
      <c r="B37" s="5" t="s">
        <v>77</v>
      </c>
      <c r="C37" s="1">
        <v>569</v>
      </c>
      <c r="D37" s="2">
        <v>536.41476274165211</v>
      </c>
      <c r="E37" s="1">
        <v>567</v>
      </c>
      <c r="F37" s="2">
        <v>597.93650793650795</v>
      </c>
      <c r="G37" s="1">
        <v>569</v>
      </c>
      <c r="H37" s="2">
        <v>605.09666080843579</v>
      </c>
      <c r="I37" s="1">
        <v>557</v>
      </c>
      <c r="J37" s="2">
        <v>708.689407540395</v>
      </c>
    </row>
    <row r="38" spans="1:10" x14ac:dyDescent="0.2">
      <c r="A38" s="5" t="s">
        <v>78</v>
      </c>
      <c r="B38" s="5" t="s">
        <v>79</v>
      </c>
      <c r="C38" s="1">
        <v>691</v>
      </c>
      <c r="D38" s="2">
        <v>907.27930535455869</v>
      </c>
      <c r="E38" s="1">
        <v>689</v>
      </c>
      <c r="F38" s="2">
        <v>933.62844702467339</v>
      </c>
      <c r="G38" s="1">
        <v>665</v>
      </c>
      <c r="H38" s="2">
        <v>1007.4586466165414</v>
      </c>
      <c r="I38" s="1">
        <v>699</v>
      </c>
      <c r="J38" s="2">
        <v>1082.6466380543634</v>
      </c>
    </row>
    <row r="39" spans="1:10" x14ac:dyDescent="0.2">
      <c r="A39" s="5" t="s">
        <v>80</v>
      </c>
      <c r="B39" s="5" t="s">
        <v>81</v>
      </c>
      <c r="C39" s="1">
        <v>1518</v>
      </c>
      <c r="D39" s="2">
        <v>794.02503293807638</v>
      </c>
      <c r="E39" s="1">
        <v>1551</v>
      </c>
      <c r="F39" s="2">
        <v>791.44422952933587</v>
      </c>
      <c r="G39" s="1">
        <v>1539</v>
      </c>
      <c r="H39" s="2">
        <v>861.29304743339833</v>
      </c>
      <c r="I39" s="1">
        <v>1581</v>
      </c>
      <c r="J39" s="2">
        <v>1018.7602783048703</v>
      </c>
    </row>
    <row r="40" spans="1:10" x14ac:dyDescent="0.2">
      <c r="A40" s="5" t="s">
        <v>82</v>
      </c>
      <c r="B40" s="5" t="s">
        <v>83</v>
      </c>
      <c r="C40" s="1">
        <v>1839</v>
      </c>
      <c r="D40" s="2">
        <v>791.32680804785207</v>
      </c>
      <c r="E40" s="1">
        <v>1826</v>
      </c>
      <c r="F40" s="2">
        <v>825.59693318729467</v>
      </c>
      <c r="G40" s="1">
        <v>1796</v>
      </c>
      <c r="H40" s="2">
        <v>855.65701559020044</v>
      </c>
      <c r="I40" s="1">
        <v>1920</v>
      </c>
      <c r="J40" s="2">
        <v>981.18750000000011</v>
      </c>
    </row>
    <row r="41" spans="1:10" x14ac:dyDescent="0.2">
      <c r="A41" s="5" t="s">
        <v>84</v>
      </c>
      <c r="B41" s="5" t="s">
        <v>85</v>
      </c>
      <c r="C41" s="1">
        <v>865</v>
      </c>
      <c r="D41" s="2">
        <v>744.41618497109823</v>
      </c>
      <c r="E41" s="1">
        <v>899</v>
      </c>
      <c r="F41" s="2">
        <v>746.24026696329258</v>
      </c>
      <c r="G41" s="1">
        <v>933</v>
      </c>
      <c r="H41" s="2">
        <v>793.31189710610931</v>
      </c>
      <c r="I41" s="1">
        <v>911</v>
      </c>
      <c r="J41" s="2">
        <v>840.20856201975857</v>
      </c>
    </row>
    <row r="42" spans="1:10" x14ac:dyDescent="0.2">
      <c r="A42" s="5" t="s">
        <v>86</v>
      </c>
      <c r="B42" s="5" t="s">
        <v>87</v>
      </c>
      <c r="C42" s="1">
        <v>6321</v>
      </c>
      <c r="D42" s="2">
        <v>902.8761271950641</v>
      </c>
      <c r="E42" s="1">
        <v>6338</v>
      </c>
      <c r="F42" s="2">
        <v>946.53518460082057</v>
      </c>
      <c r="G42" s="1">
        <v>6310</v>
      </c>
      <c r="H42" s="2">
        <v>1042.2757527733756</v>
      </c>
      <c r="I42" s="1">
        <v>6377</v>
      </c>
      <c r="J42" s="2">
        <v>1143.1127489415085</v>
      </c>
    </row>
    <row r="43" spans="1:10" x14ac:dyDescent="0.2">
      <c r="A43" s="5" t="s">
        <v>88</v>
      </c>
      <c r="B43" s="5" t="s">
        <v>89</v>
      </c>
      <c r="C43" s="1">
        <v>4746</v>
      </c>
      <c r="D43" s="2">
        <v>744.41002949852509</v>
      </c>
      <c r="E43" s="1">
        <v>4709</v>
      </c>
      <c r="F43" s="2">
        <v>814.28116372902957</v>
      </c>
      <c r="G43" s="1">
        <v>4846</v>
      </c>
      <c r="H43" s="2">
        <v>888.27073875361134</v>
      </c>
      <c r="I43" s="1">
        <v>4979</v>
      </c>
      <c r="J43" s="2">
        <v>985.13556939144394</v>
      </c>
    </row>
    <row r="44" spans="1:10" x14ac:dyDescent="0.2">
      <c r="A44" s="5" t="s">
        <v>90</v>
      </c>
      <c r="B44" s="5" t="s">
        <v>91</v>
      </c>
      <c r="C44" s="1">
        <v>283</v>
      </c>
      <c r="D44" s="2">
        <v>668.93992932862193</v>
      </c>
      <c r="E44" s="1">
        <v>277</v>
      </c>
      <c r="F44" s="2">
        <v>688.91696750902531</v>
      </c>
      <c r="G44" s="1">
        <v>268</v>
      </c>
      <c r="H44" s="2">
        <v>746.04477611940297</v>
      </c>
      <c r="I44" s="1">
        <v>254</v>
      </c>
      <c r="J44" s="2">
        <v>840.19685039370074</v>
      </c>
    </row>
    <row r="45" spans="1:10" x14ac:dyDescent="0.2">
      <c r="A45" s="5" t="s">
        <v>92</v>
      </c>
      <c r="B45" s="5" t="s">
        <v>93</v>
      </c>
      <c r="C45" s="1">
        <v>4468</v>
      </c>
      <c r="D45" s="2">
        <v>869.79856759176369</v>
      </c>
      <c r="E45" s="1">
        <v>4513</v>
      </c>
      <c r="F45" s="2">
        <v>932.01196543319293</v>
      </c>
      <c r="G45" s="1">
        <v>4601</v>
      </c>
      <c r="H45" s="2">
        <v>1029.9087154966312</v>
      </c>
      <c r="I45" s="1">
        <v>4706</v>
      </c>
      <c r="J45" s="2">
        <v>1150.6629834254145</v>
      </c>
    </row>
    <row r="46" spans="1:10" x14ac:dyDescent="0.2">
      <c r="A46" s="5" t="s">
        <v>94</v>
      </c>
      <c r="B46" s="5" t="s">
        <v>95</v>
      </c>
      <c r="C46" s="1">
        <v>1246</v>
      </c>
      <c r="D46" s="2">
        <v>960.6661316211879</v>
      </c>
      <c r="E46" s="1">
        <v>1238</v>
      </c>
      <c r="F46" s="2">
        <v>985.06462035541199</v>
      </c>
      <c r="G46" s="1">
        <v>1229</v>
      </c>
      <c r="H46" s="2">
        <v>1075.874694873881</v>
      </c>
      <c r="I46" s="1">
        <v>1215</v>
      </c>
      <c r="J46" s="2">
        <v>1157.9835390946503</v>
      </c>
    </row>
    <row r="47" spans="1:10" x14ac:dyDescent="0.2">
      <c r="A47" s="5" t="s">
        <v>96</v>
      </c>
      <c r="B47" s="5" t="s">
        <v>97</v>
      </c>
      <c r="C47" s="1">
        <v>156</v>
      </c>
      <c r="D47" s="2">
        <v>761.15384615384619</v>
      </c>
      <c r="E47" s="1">
        <v>156</v>
      </c>
      <c r="F47" s="2">
        <v>729.16666666666663</v>
      </c>
      <c r="G47" s="1">
        <v>150</v>
      </c>
      <c r="H47" s="2">
        <v>797.80000000000007</v>
      </c>
      <c r="I47" s="1">
        <v>141</v>
      </c>
      <c r="J47" s="2">
        <v>973.12056737588659</v>
      </c>
    </row>
    <row r="48" spans="1:10" x14ac:dyDescent="0.2">
      <c r="A48" s="5" t="s">
        <v>98</v>
      </c>
      <c r="B48" s="5" t="s">
        <v>99</v>
      </c>
      <c r="C48" s="1">
        <v>3649</v>
      </c>
      <c r="D48" s="2">
        <v>801.35379556042756</v>
      </c>
      <c r="E48" s="1">
        <v>3819</v>
      </c>
      <c r="F48" s="2">
        <v>808.78764074365029</v>
      </c>
      <c r="G48" s="1">
        <v>3861</v>
      </c>
      <c r="H48" s="2">
        <v>927.4928774928776</v>
      </c>
      <c r="I48" s="1">
        <v>3972</v>
      </c>
      <c r="J48" s="2">
        <v>996.30916414904334</v>
      </c>
    </row>
    <row r="49" spans="1:10" x14ac:dyDescent="0.2">
      <c r="A49" s="5" t="s">
        <v>100</v>
      </c>
      <c r="B49" s="5" t="s">
        <v>101</v>
      </c>
      <c r="C49" s="1">
        <v>3676</v>
      </c>
      <c r="D49" s="2">
        <v>871.58324265505985</v>
      </c>
      <c r="E49" s="1">
        <v>3672</v>
      </c>
      <c r="F49" s="2">
        <v>893.42320261437908</v>
      </c>
      <c r="G49" s="1">
        <v>3570</v>
      </c>
      <c r="H49" s="2">
        <v>1004.8515406162466</v>
      </c>
      <c r="I49" s="1">
        <v>3439</v>
      </c>
      <c r="J49" s="2">
        <v>1038.1709799360278</v>
      </c>
    </row>
    <row r="50" spans="1:10" x14ac:dyDescent="0.2">
      <c r="A50" s="5" t="s">
        <v>102</v>
      </c>
      <c r="B50" s="5" t="s">
        <v>103</v>
      </c>
      <c r="C50" s="1">
        <v>984</v>
      </c>
      <c r="D50" s="2">
        <v>907.1239837398374</v>
      </c>
      <c r="E50" s="1">
        <v>1001</v>
      </c>
      <c r="F50" s="2">
        <v>979.030969030969</v>
      </c>
      <c r="G50" s="1">
        <v>1010</v>
      </c>
      <c r="H50" s="2">
        <v>1046.7524752475249</v>
      </c>
      <c r="I50" s="1">
        <v>957</v>
      </c>
      <c r="J50" s="2">
        <v>1204.221525600836</v>
      </c>
    </row>
    <row r="51" spans="1:10" x14ac:dyDescent="0.2">
      <c r="A51" s="5" t="s">
        <v>104</v>
      </c>
      <c r="B51" s="5" t="s">
        <v>105</v>
      </c>
      <c r="C51" s="1">
        <v>787</v>
      </c>
      <c r="D51" s="2">
        <v>1055.1588310038119</v>
      </c>
      <c r="E51" s="1">
        <v>750</v>
      </c>
      <c r="F51" s="2">
        <v>1165.6266666666668</v>
      </c>
      <c r="G51" s="1">
        <v>698</v>
      </c>
      <c r="H51" s="2">
        <v>1125.5157593123208</v>
      </c>
      <c r="I51" s="1">
        <v>703</v>
      </c>
      <c r="J51" s="2">
        <v>1239.3456614509246</v>
      </c>
    </row>
    <row r="52" spans="1:10" x14ac:dyDescent="0.2">
      <c r="A52" s="5" t="s">
        <v>106</v>
      </c>
      <c r="B52" s="5" t="s">
        <v>107</v>
      </c>
      <c r="C52" s="1">
        <v>1821</v>
      </c>
      <c r="D52" s="2">
        <v>491.02141680395385</v>
      </c>
      <c r="E52" s="1">
        <v>1834</v>
      </c>
      <c r="F52" s="2">
        <v>548.41330425299896</v>
      </c>
      <c r="G52" s="1">
        <v>1874</v>
      </c>
      <c r="H52" s="2">
        <v>627.37993596584852</v>
      </c>
      <c r="I52" s="1">
        <v>1833</v>
      </c>
      <c r="J52" s="2">
        <v>732.73867975995643</v>
      </c>
    </row>
    <row r="53" spans="1:10" x14ac:dyDescent="0.2">
      <c r="A53" s="5" t="s">
        <v>108</v>
      </c>
      <c r="B53" s="5" t="s">
        <v>109</v>
      </c>
      <c r="C53" s="1">
        <v>119</v>
      </c>
      <c r="D53" s="2">
        <v>483.52941176470586</v>
      </c>
      <c r="E53" s="1">
        <v>120</v>
      </c>
      <c r="F53" s="2">
        <v>534.58333333333337</v>
      </c>
      <c r="G53" s="1">
        <v>118</v>
      </c>
      <c r="H53" s="2">
        <v>533.81355932203394</v>
      </c>
      <c r="I53" s="1">
        <v>109</v>
      </c>
      <c r="J53" s="2">
        <v>596.78899082568807</v>
      </c>
    </row>
    <row r="54" spans="1:10" x14ac:dyDescent="0.2">
      <c r="A54" s="5" t="s">
        <v>110</v>
      </c>
      <c r="B54" s="5" t="s">
        <v>111</v>
      </c>
      <c r="C54" s="1">
        <v>824</v>
      </c>
      <c r="D54" s="2">
        <v>505.26699029126223</v>
      </c>
      <c r="E54" s="1">
        <v>843</v>
      </c>
      <c r="F54" s="2">
        <v>568.76631079478057</v>
      </c>
      <c r="G54" s="1">
        <v>853</v>
      </c>
      <c r="H54" s="2">
        <v>591.3481828839391</v>
      </c>
      <c r="I54" s="1">
        <v>816</v>
      </c>
      <c r="J54" s="2">
        <v>706.04166666666663</v>
      </c>
    </row>
    <row r="55" spans="1:10" x14ac:dyDescent="0.2">
      <c r="A55" s="5" t="s">
        <v>112</v>
      </c>
      <c r="B55" s="5" t="s">
        <v>113</v>
      </c>
      <c r="C55" s="1">
        <v>405</v>
      </c>
      <c r="D55" s="2">
        <v>650.83950617283961</v>
      </c>
      <c r="E55" s="1">
        <v>390</v>
      </c>
      <c r="F55" s="2">
        <v>701.76923076923083</v>
      </c>
      <c r="G55" s="1">
        <v>409</v>
      </c>
      <c r="H55" s="2">
        <v>716.79706601467001</v>
      </c>
      <c r="I55" s="1">
        <v>368</v>
      </c>
      <c r="J55" s="2">
        <v>825.84239130434787</v>
      </c>
    </row>
    <row r="56" spans="1:10" x14ac:dyDescent="0.2">
      <c r="A56" s="5" t="s">
        <v>114</v>
      </c>
      <c r="B56" s="5" t="s">
        <v>115</v>
      </c>
      <c r="C56" s="1">
        <v>1199</v>
      </c>
      <c r="D56" s="2">
        <v>588.09841534612178</v>
      </c>
      <c r="E56" s="1">
        <v>1139</v>
      </c>
      <c r="F56" s="2">
        <v>522.81826163301139</v>
      </c>
      <c r="G56" s="1">
        <v>1088</v>
      </c>
      <c r="H56" s="2">
        <v>558.86948529411768</v>
      </c>
      <c r="I56" s="1">
        <v>990</v>
      </c>
      <c r="J56" s="2">
        <v>556.19191919191928</v>
      </c>
    </row>
    <row r="57" spans="1:10" x14ac:dyDescent="0.2">
      <c r="A57" s="5" t="s">
        <v>116</v>
      </c>
      <c r="B57" s="5" t="s">
        <v>117</v>
      </c>
      <c r="C57" s="1">
        <v>1202</v>
      </c>
      <c r="D57" s="2">
        <v>594.03494176372703</v>
      </c>
      <c r="E57" s="1">
        <v>1236</v>
      </c>
      <c r="F57" s="2">
        <v>646.1650485436893</v>
      </c>
      <c r="G57" s="1">
        <v>1277</v>
      </c>
      <c r="H57" s="2">
        <v>719.48316366483948</v>
      </c>
      <c r="I57" s="1">
        <v>1224</v>
      </c>
      <c r="J57" s="2">
        <v>823.76633986928118</v>
      </c>
    </row>
    <row r="58" spans="1:10" x14ac:dyDescent="0.2">
      <c r="A58" s="5" t="s">
        <v>118</v>
      </c>
      <c r="B58" s="5" t="s">
        <v>119</v>
      </c>
      <c r="C58" s="1">
        <v>3327</v>
      </c>
      <c r="D58" s="2">
        <v>999.71445746919153</v>
      </c>
      <c r="E58" s="1">
        <v>3436</v>
      </c>
      <c r="F58" s="2">
        <v>1023.1606519208383</v>
      </c>
      <c r="G58" s="1">
        <v>3501</v>
      </c>
      <c r="H58" s="2">
        <v>1137.1493858897459</v>
      </c>
      <c r="I58" s="1">
        <v>3522</v>
      </c>
      <c r="J58" s="2">
        <v>1227.2884724588303</v>
      </c>
    </row>
    <row r="59" spans="1:10" x14ac:dyDescent="0.2">
      <c r="A59" s="5" t="s">
        <v>120</v>
      </c>
      <c r="B59" s="5" t="s">
        <v>121</v>
      </c>
      <c r="C59" s="1">
        <v>11242</v>
      </c>
      <c r="D59" s="2">
        <v>1175.9669098025263</v>
      </c>
      <c r="E59" s="1">
        <v>11377</v>
      </c>
      <c r="F59" s="2">
        <v>1203.8964577656675</v>
      </c>
      <c r="G59" s="1">
        <v>11591</v>
      </c>
      <c r="H59" s="2">
        <v>1338.7895781209561</v>
      </c>
      <c r="I59" s="1">
        <v>11758</v>
      </c>
      <c r="J59" s="2">
        <v>1476.3148494641946</v>
      </c>
    </row>
    <row r="60" spans="1:10" x14ac:dyDescent="0.2">
      <c r="A60" s="5" t="s">
        <v>122</v>
      </c>
      <c r="B60" s="5" t="s">
        <v>123</v>
      </c>
      <c r="C60" s="1">
        <v>22419</v>
      </c>
      <c r="D60" s="2">
        <v>592.50011151255637</v>
      </c>
      <c r="E60" s="1">
        <v>22318</v>
      </c>
      <c r="F60" s="2">
        <v>634.95608925530962</v>
      </c>
      <c r="G60" s="1">
        <v>22232</v>
      </c>
      <c r="H60" s="2">
        <v>709.40851025548761</v>
      </c>
      <c r="I60" s="1">
        <v>22128</v>
      </c>
      <c r="J60" s="2">
        <v>774.45408532176418</v>
      </c>
    </row>
    <row r="61" spans="1:10" x14ac:dyDescent="0.2">
      <c r="A61" s="5" t="s">
        <v>124</v>
      </c>
      <c r="B61" s="5" t="s">
        <v>125</v>
      </c>
      <c r="C61" s="1">
        <v>1011</v>
      </c>
      <c r="D61" s="2">
        <v>587.71513353115733</v>
      </c>
      <c r="E61" s="1">
        <v>1012</v>
      </c>
      <c r="F61" s="2">
        <v>620.58300395256913</v>
      </c>
      <c r="G61" s="1">
        <v>1009</v>
      </c>
      <c r="H61" s="2">
        <v>689.77205153617444</v>
      </c>
      <c r="I61" s="1">
        <v>1002</v>
      </c>
      <c r="J61" s="2">
        <v>763.4131736526947</v>
      </c>
    </row>
    <row r="62" spans="1:10" x14ac:dyDescent="0.2">
      <c r="A62" s="5" t="s">
        <v>126</v>
      </c>
      <c r="B62" s="5" t="s">
        <v>127</v>
      </c>
      <c r="C62" s="1">
        <v>72</v>
      </c>
      <c r="D62" s="2">
        <v>342.5</v>
      </c>
      <c r="E62" s="1">
        <v>91</v>
      </c>
      <c r="F62" s="2">
        <v>372.08791208791206</v>
      </c>
      <c r="G62" s="1">
        <v>104</v>
      </c>
      <c r="H62" s="2">
        <v>398.07692307692304</v>
      </c>
      <c r="I62" s="1">
        <v>124</v>
      </c>
      <c r="J62" s="2">
        <v>485.08064516129031</v>
      </c>
    </row>
    <row r="63" spans="1:10" x14ac:dyDescent="0.2">
      <c r="A63" s="5" t="s">
        <v>128</v>
      </c>
      <c r="B63" s="5" t="s">
        <v>129</v>
      </c>
      <c r="C63" s="1">
        <v>268</v>
      </c>
      <c r="D63" s="2">
        <v>555.14925373134326</v>
      </c>
      <c r="E63" s="1">
        <v>267</v>
      </c>
      <c r="F63" s="2">
        <v>587.71535580524346</v>
      </c>
      <c r="G63" s="1">
        <v>256</v>
      </c>
      <c r="H63" s="2">
        <v>623.0078125</v>
      </c>
      <c r="I63" s="1">
        <v>249</v>
      </c>
      <c r="J63" s="2">
        <v>690.52208835341366</v>
      </c>
    </row>
    <row r="64" spans="1:10" x14ac:dyDescent="0.2">
      <c r="A64" s="5" t="s">
        <v>130</v>
      </c>
      <c r="B64" s="5" t="s">
        <v>131</v>
      </c>
      <c r="C64" s="1">
        <v>1163</v>
      </c>
      <c r="D64" s="2">
        <v>552.42476354256235</v>
      </c>
      <c r="E64" s="1">
        <v>1199</v>
      </c>
      <c r="F64" s="2">
        <v>577.42285237698093</v>
      </c>
      <c r="G64" s="1">
        <v>1249</v>
      </c>
      <c r="H64" s="2">
        <v>652.06565252201767</v>
      </c>
      <c r="I64" s="1">
        <v>1230</v>
      </c>
      <c r="J64" s="2">
        <v>747.88617886178861</v>
      </c>
    </row>
    <row r="65" spans="1:10" x14ac:dyDescent="0.2">
      <c r="A65" s="5" t="s">
        <v>132</v>
      </c>
      <c r="B65" s="5" t="s">
        <v>133</v>
      </c>
      <c r="C65" s="1">
        <v>2331</v>
      </c>
      <c r="D65" s="2">
        <v>722.4581724581725</v>
      </c>
      <c r="E65" s="1">
        <v>2391</v>
      </c>
      <c r="F65" s="2">
        <v>784.91007946465913</v>
      </c>
      <c r="G65" s="1">
        <v>2441</v>
      </c>
      <c r="H65" s="2">
        <v>862.14256452273662</v>
      </c>
      <c r="I65" s="1">
        <v>2473</v>
      </c>
      <c r="J65" s="2">
        <v>981.54872624342909</v>
      </c>
    </row>
    <row r="66" spans="1:10" x14ac:dyDescent="0.2">
      <c r="A66" s="5" t="s">
        <v>134</v>
      </c>
      <c r="B66" s="5" t="s">
        <v>135</v>
      </c>
      <c r="C66" s="1">
        <v>2569</v>
      </c>
      <c r="D66" s="2">
        <v>918.52471778902304</v>
      </c>
      <c r="E66" s="1">
        <v>2604</v>
      </c>
      <c r="F66" s="2">
        <v>976.06758832565276</v>
      </c>
      <c r="G66" s="1">
        <v>2604</v>
      </c>
      <c r="H66" s="2">
        <v>1041.0099846390169</v>
      </c>
      <c r="I66" s="1">
        <v>2605</v>
      </c>
      <c r="J66" s="2">
        <v>1083.1861804222649</v>
      </c>
    </row>
    <row r="67" spans="1:10" x14ac:dyDescent="0.2">
      <c r="A67" s="5" t="s">
        <v>136</v>
      </c>
      <c r="B67" s="5" t="s">
        <v>137</v>
      </c>
      <c r="C67" s="1">
        <v>1211</v>
      </c>
      <c r="D67" s="2">
        <v>473.57555739058625</v>
      </c>
      <c r="E67" s="1">
        <v>1210</v>
      </c>
      <c r="F67" s="2">
        <v>503.89256198347113</v>
      </c>
      <c r="G67" s="1">
        <v>1165</v>
      </c>
      <c r="H67" s="2">
        <v>541.55364806866942</v>
      </c>
      <c r="I67" s="1">
        <v>1117</v>
      </c>
      <c r="J67" s="2">
        <v>607.30528200537162</v>
      </c>
    </row>
    <row r="68" spans="1:10" x14ac:dyDescent="0.2">
      <c r="A68" s="5" t="s">
        <v>138</v>
      </c>
      <c r="B68" s="5" t="s">
        <v>139</v>
      </c>
      <c r="C68" s="1">
        <v>1410</v>
      </c>
      <c r="D68" s="2">
        <v>423.70212765957444</v>
      </c>
      <c r="E68" s="1">
        <v>1521</v>
      </c>
      <c r="F68" s="2">
        <v>439.46745562130178</v>
      </c>
      <c r="G68" s="1">
        <v>1572</v>
      </c>
      <c r="H68" s="2">
        <v>485.00636132315526</v>
      </c>
      <c r="I68" s="1">
        <v>1560</v>
      </c>
      <c r="J68" s="2">
        <v>556.06410256410254</v>
      </c>
    </row>
    <row r="69" spans="1:10" x14ac:dyDescent="0.2">
      <c r="A69" s="5" t="s">
        <v>140</v>
      </c>
      <c r="B69" s="5" t="s">
        <v>141</v>
      </c>
      <c r="C69" s="1">
        <v>477</v>
      </c>
      <c r="D69" s="2">
        <v>388.32285115303984</v>
      </c>
      <c r="E69" s="1">
        <v>504</v>
      </c>
      <c r="F69" s="2">
        <v>398.17460317460319</v>
      </c>
      <c r="G69" s="1">
        <v>508</v>
      </c>
      <c r="H69" s="2">
        <v>434.42913385826768</v>
      </c>
      <c r="I69" s="1">
        <v>507</v>
      </c>
      <c r="J69" s="2">
        <v>513.01775147928993</v>
      </c>
    </row>
    <row r="70" spans="1:10" x14ac:dyDescent="0.2">
      <c r="A70" s="5" t="s">
        <v>142</v>
      </c>
      <c r="B70" s="5" t="s">
        <v>143</v>
      </c>
      <c r="C70" s="1">
        <v>67</v>
      </c>
      <c r="D70" s="2">
        <v>451.79104477611941</v>
      </c>
      <c r="E70" s="1">
        <v>71</v>
      </c>
      <c r="F70" s="2">
        <v>419.71830985915494</v>
      </c>
      <c r="G70" s="1">
        <v>70</v>
      </c>
      <c r="H70" s="2">
        <v>496.28571428571433</v>
      </c>
      <c r="I70" s="1">
        <v>79</v>
      </c>
      <c r="J70" s="2">
        <v>573.54430379746839</v>
      </c>
    </row>
    <row r="71" spans="1:10" x14ac:dyDescent="0.2">
      <c r="A71" s="5" t="s">
        <v>144</v>
      </c>
      <c r="B71" s="5" t="s">
        <v>145</v>
      </c>
      <c r="C71" s="1">
        <v>185</v>
      </c>
      <c r="D71" s="2">
        <v>512.86486486486478</v>
      </c>
      <c r="E71" s="1">
        <v>193</v>
      </c>
      <c r="F71" s="2">
        <v>544.04145077720216</v>
      </c>
      <c r="G71" s="1">
        <v>193</v>
      </c>
      <c r="H71" s="2">
        <v>605.85492227979273</v>
      </c>
      <c r="I71" s="1">
        <v>191</v>
      </c>
      <c r="J71" s="2">
        <v>717.17277486910996</v>
      </c>
    </row>
    <row r="72" spans="1:10" x14ac:dyDescent="0.2">
      <c r="A72" s="5" t="s">
        <v>146</v>
      </c>
      <c r="B72" s="5" t="s">
        <v>147</v>
      </c>
      <c r="C72" s="1">
        <v>3732</v>
      </c>
      <c r="D72" s="2">
        <v>522.23740621650597</v>
      </c>
      <c r="E72" s="1">
        <v>4031</v>
      </c>
      <c r="F72" s="2">
        <v>554.75316298685198</v>
      </c>
      <c r="G72" s="1">
        <v>4330</v>
      </c>
      <c r="H72" s="2">
        <v>580.18937644341804</v>
      </c>
      <c r="I72" s="1">
        <v>4521</v>
      </c>
      <c r="J72" s="2">
        <v>642.86883432868831</v>
      </c>
    </row>
    <row r="73" spans="1:10" x14ac:dyDescent="0.2">
      <c r="A73" s="5" t="s">
        <v>148</v>
      </c>
      <c r="B73" s="5" t="s">
        <v>149</v>
      </c>
      <c r="C73" s="1">
        <v>11169</v>
      </c>
      <c r="D73" s="2">
        <v>724.65037156415076</v>
      </c>
      <c r="E73" s="1">
        <v>10900</v>
      </c>
      <c r="F73" s="2">
        <v>703.12477064220195</v>
      </c>
      <c r="G73" s="1">
        <v>10599</v>
      </c>
      <c r="H73" s="2">
        <v>706.70723653174832</v>
      </c>
      <c r="I73" s="1">
        <v>10402</v>
      </c>
      <c r="J73" s="2">
        <v>763.83483945395119</v>
      </c>
    </row>
    <row r="74" spans="1:10" x14ac:dyDescent="0.2">
      <c r="A74" s="5" t="s">
        <v>150</v>
      </c>
      <c r="B74" s="5" t="s">
        <v>151</v>
      </c>
      <c r="C74" s="1">
        <v>3478</v>
      </c>
      <c r="D74" s="2">
        <v>548.26336975273148</v>
      </c>
      <c r="E74" s="1">
        <v>3446</v>
      </c>
      <c r="F74" s="2">
        <v>574.52408589669176</v>
      </c>
      <c r="G74" s="1">
        <v>3420</v>
      </c>
      <c r="H74" s="2">
        <v>597.9766081871345</v>
      </c>
      <c r="I74" s="1">
        <v>3279</v>
      </c>
      <c r="J74" s="2">
        <v>640.42086001829819</v>
      </c>
    </row>
    <row r="75" spans="1:10" x14ac:dyDescent="0.2">
      <c r="A75" s="5" t="s">
        <v>152</v>
      </c>
      <c r="B75" s="5" t="s">
        <v>153</v>
      </c>
      <c r="C75" s="1">
        <v>29663</v>
      </c>
      <c r="D75" s="2">
        <v>674.22445470788523</v>
      </c>
      <c r="E75" s="1">
        <v>28856</v>
      </c>
      <c r="F75" s="2">
        <v>685.47789021347387</v>
      </c>
      <c r="G75" s="1">
        <v>27555</v>
      </c>
      <c r="H75" s="2">
        <v>715.20812919615321</v>
      </c>
      <c r="I75" s="1">
        <v>26609</v>
      </c>
      <c r="J75" s="2">
        <v>770.32131985418459</v>
      </c>
    </row>
    <row r="76" spans="1:10" x14ac:dyDescent="0.2">
      <c r="A76" s="5" t="s">
        <v>154</v>
      </c>
      <c r="B76" s="5" t="s">
        <v>155</v>
      </c>
      <c r="C76" s="1">
        <v>5801</v>
      </c>
      <c r="D76" s="2">
        <v>699.66557490087916</v>
      </c>
      <c r="E76" s="1">
        <v>6161</v>
      </c>
      <c r="F76" s="2">
        <v>698.05226424281773</v>
      </c>
      <c r="G76" s="1">
        <v>6202</v>
      </c>
      <c r="H76" s="2">
        <v>719.18897129958066</v>
      </c>
      <c r="I76" s="1">
        <v>6213</v>
      </c>
      <c r="J76" s="2">
        <v>768.4162240463545</v>
      </c>
    </row>
    <row r="77" spans="1:10" x14ac:dyDescent="0.2">
      <c r="A77" s="5" t="s">
        <v>156</v>
      </c>
      <c r="B77" s="5" t="s">
        <v>157</v>
      </c>
      <c r="C77" s="1">
        <v>11722</v>
      </c>
      <c r="D77" s="2">
        <v>558.41238696468179</v>
      </c>
      <c r="E77" s="1">
        <v>12242</v>
      </c>
      <c r="F77" s="2">
        <v>574.57686652507766</v>
      </c>
      <c r="G77" s="1">
        <v>12333</v>
      </c>
      <c r="H77" s="2">
        <v>598.42941701127063</v>
      </c>
      <c r="I77" s="1">
        <v>12789</v>
      </c>
      <c r="J77" s="2">
        <v>653.51473922902494</v>
      </c>
    </row>
    <row r="78" spans="1:10" x14ac:dyDescent="0.2">
      <c r="A78" s="5" t="s">
        <v>158</v>
      </c>
      <c r="B78" s="5" t="s">
        <v>159</v>
      </c>
      <c r="C78" s="1">
        <v>1386</v>
      </c>
      <c r="D78" s="2">
        <v>620.89466089466089</v>
      </c>
      <c r="E78" s="1">
        <v>1222</v>
      </c>
      <c r="F78" s="2">
        <v>644.59901800327339</v>
      </c>
      <c r="G78" s="1">
        <v>1205</v>
      </c>
      <c r="H78" s="2">
        <v>652.69709543568467</v>
      </c>
      <c r="I78" s="1">
        <v>1229</v>
      </c>
      <c r="J78" s="2">
        <v>721.57038242473561</v>
      </c>
    </row>
    <row r="79" spans="1:10" x14ac:dyDescent="0.2">
      <c r="A79" s="5" t="s">
        <v>160</v>
      </c>
      <c r="B79" s="5" t="s">
        <v>161</v>
      </c>
      <c r="C79" s="1">
        <v>2515</v>
      </c>
      <c r="D79" s="2">
        <v>658.40954274353885</v>
      </c>
      <c r="E79" s="1">
        <v>2493</v>
      </c>
      <c r="F79" s="2">
        <v>669.02527075812282</v>
      </c>
      <c r="G79" s="1">
        <v>2486</v>
      </c>
      <c r="H79" s="2">
        <v>678.89782783588089</v>
      </c>
      <c r="I79" s="1">
        <v>2420</v>
      </c>
      <c r="J79" s="2">
        <v>748.69834710743805</v>
      </c>
    </row>
    <row r="80" spans="1:10" x14ac:dyDescent="0.2">
      <c r="A80" s="5" t="s">
        <v>162</v>
      </c>
      <c r="B80" s="5" t="s">
        <v>163</v>
      </c>
      <c r="C80" s="1">
        <v>166</v>
      </c>
      <c r="D80" s="2">
        <v>342.22891566265065</v>
      </c>
      <c r="E80" s="1">
        <v>171</v>
      </c>
      <c r="F80" s="2">
        <v>336.60818713450288</v>
      </c>
      <c r="G80" s="1">
        <v>152</v>
      </c>
      <c r="H80" s="2">
        <v>360.13157894736844</v>
      </c>
      <c r="I80" s="1">
        <v>157</v>
      </c>
      <c r="J80" s="2">
        <v>352.86624203821651</v>
      </c>
    </row>
    <row r="81" spans="1:10" x14ac:dyDescent="0.2">
      <c r="A81" s="5" t="s">
        <v>164</v>
      </c>
      <c r="B81" s="5" t="s">
        <v>165</v>
      </c>
      <c r="C81" s="1">
        <v>2631</v>
      </c>
      <c r="D81" s="2">
        <v>627.21398707715707</v>
      </c>
      <c r="E81" s="1">
        <v>2635</v>
      </c>
      <c r="F81" s="2">
        <v>644.11385199240988</v>
      </c>
      <c r="G81" s="1">
        <v>2622</v>
      </c>
      <c r="H81" s="2">
        <v>669.17238749046521</v>
      </c>
      <c r="I81" s="1">
        <v>2596</v>
      </c>
      <c r="J81" s="2">
        <v>704.88443759630206</v>
      </c>
    </row>
    <row r="82" spans="1:10" x14ac:dyDescent="0.2">
      <c r="A82" s="5" t="s">
        <v>166</v>
      </c>
      <c r="B82" s="5" t="s">
        <v>167</v>
      </c>
      <c r="C82" s="1">
        <v>2076</v>
      </c>
      <c r="D82" s="2">
        <v>488.17919075144511</v>
      </c>
      <c r="E82" s="1">
        <v>2187</v>
      </c>
      <c r="F82" s="2">
        <v>482.58802011888434</v>
      </c>
      <c r="G82" s="1">
        <v>2183</v>
      </c>
      <c r="H82" s="2">
        <v>504.97938616582695</v>
      </c>
      <c r="I82" s="1">
        <v>2156</v>
      </c>
      <c r="J82" s="2">
        <v>539.4526901669758</v>
      </c>
    </row>
    <row r="83" spans="1:10" x14ac:dyDescent="0.2">
      <c r="A83" s="5" t="s">
        <v>168</v>
      </c>
      <c r="B83" s="5" t="s">
        <v>169</v>
      </c>
      <c r="C83" s="1">
        <v>59</v>
      </c>
      <c r="D83" s="2">
        <v>317.62711864406782</v>
      </c>
      <c r="E83" s="1">
        <v>65</v>
      </c>
      <c r="F83" s="2">
        <v>412.46153846153851</v>
      </c>
      <c r="G83" s="1">
        <v>62</v>
      </c>
      <c r="H83" s="2">
        <v>428.22580645161293</v>
      </c>
      <c r="I83" s="1">
        <v>65</v>
      </c>
      <c r="J83" s="2">
        <v>533.07692307692298</v>
      </c>
    </row>
    <row r="84" spans="1:10" x14ac:dyDescent="0.2">
      <c r="A84" s="5" t="s">
        <v>170</v>
      </c>
      <c r="B84" s="5" t="s">
        <v>171</v>
      </c>
      <c r="C84" s="1">
        <v>6244</v>
      </c>
      <c r="D84" s="2">
        <v>475.23222293401665</v>
      </c>
      <c r="E84" s="1">
        <v>5971</v>
      </c>
      <c r="F84" s="2">
        <v>491.57929994975717</v>
      </c>
      <c r="G84" s="1">
        <v>6294</v>
      </c>
      <c r="H84" s="2">
        <v>501.75405147759767</v>
      </c>
      <c r="I84" s="1">
        <v>6411</v>
      </c>
      <c r="J84" s="2">
        <v>561.15582592419275</v>
      </c>
    </row>
    <row r="85" spans="1:10" x14ac:dyDescent="0.2">
      <c r="A85" s="5" t="s">
        <v>172</v>
      </c>
      <c r="B85" s="5" t="s">
        <v>173</v>
      </c>
      <c r="C85" s="1">
        <v>31562</v>
      </c>
      <c r="D85" s="2">
        <v>591.64660034218366</v>
      </c>
      <c r="E85" s="1">
        <v>32286</v>
      </c>
      <c r="F85" s="2">
        <v>620.1461933965187</v>
      </c>
      <c r="G85" s="1">
        <v>32540</v>
      </c>
      <c r="H85" s="2">
        <v>669.00891210817451</v>
      </c>
      <c r="I85" s="1">
        <v>32532</v>
      </c>
      <c r="J85" s="2">
        <v>749.09565965818285</v>
      </c>
    </row>
    <row r="86" spans="1:10" x14ac:dyDescent="0.2">
      <c r="A86" s="5" t="s">
        <v>174</v>
      </c>
      <c r="B86" s="5" t="s">
        <v>175</v>
      </c>
      <c r="C86" s="1">
        <v>1643</v>
      </c>
      <c r="D86" s="2">
        <v>995.58125380401702</v>
      </c>
      <c r="E86" s="1">
        <v>1651</v>
      </c>
      <c r="F86" s="2">
        <v>1041.6959418534223</v>
      </c>
      <c r="G86" s="1">
        <v>1668</v>
      </c>
      <c r="H86" s="2">
        <v>1131.990407673861</v>
      </c>
      <c r="I86" s="1">
        <v>1705</v>
      </c>
      <c r="J86" s="2">
        <v>1207.3313782991202</v>
      </c>
    </row>
    <row r="87" spans="1:10" x14ac:dyDescent="0.2">
      <c r="A87" s="5" t="s">
        <v>176</v>
      </c>
      <c r="B87" s="5" t="s">
        <v>177</v>
      </c>
      <c r="C87" s="1">
        <v>2169</v>
      </c>
      <c r="D87" s="2">
        <v>1062.2222222222222</v>
      </c>
      <c r="E87" s="1">
        <v>2333</v>
      </c>
      <c r="F87" s="2">
        <v>1086.1251607372483</v>
      </c>
      <c r="G87" s="1">
        <v>2495</v>
      </c>
      <c r="H87" s="2">
        <v>1198.0921843687374</v>
      </c>
      <c r="I87" s="1">
        <v>2669</v>
      </c>
      <c r="J87" s="2">
        <v>1358.65118021731</v>
      </c>
    </row>
    <row r="88" spans="1:10" x14ac:dyDescent="0.2">
      <c r="A88" s="5" t="s">
        <v>178</v>
      </c>
      <c r="B88" s="5" t="s">
        <v>179</v>
      </c>
      <c r="C88" s="1">
        <v>13821</v>
      </c>
      <c r="D88" s="2">
        <v>609.28297518269301</v>
      </c>
      <c r="E88" s="1">
        <v>14959</v>
      </c>
      <c r="F88" s="2">
        <v>628.80740691222672</v>
      </c>
      <c r="G88" s="1">
        <v>16128</v>
      </c>
      <c r="H88" s="2">
        <v>687.39831349206349</v>
      </c>
      <c r="I88" s="1">
        <v>16868</v>
      </c>
      <c r="J88" s="2">
        <v>794.99347877638138</v>
      </c>
    </row>
    <row r="89" spans="1:10" x14ac:dyDescent="0.2">
      <c r="A89" s="5" t="s">
        <v>180</v>
      </c>
      <c r="B89" s="5" t="s">
        <v>181</v>
      </c>
      <c r="C89" s="1">
        <v>21035</v>
      </c>
      <c r="D89" s="2">
        <v>795.72379367720464</v>
      </c>
      <c r="E89" s="1">
        <v>21202</v>
      </c>
      <c r="F89" s="2">
        <v>811.97717196490908</v>
      </c>
      <c r="G89" s="1">
        <v>21559</v>
      </c>
      <c r="H89" s="2">
        <v>841.93422700496319</v>
      </c>
      <c r="I89" s="1">
        <v>21823</v>
      </c>
      <c r="J89" s="2">
        <v>925.27837602529451</v>
      </c>
    </row>
    <row r="90" spans="1:10" x14ac:dyDescent="0.2">
      <c r="A90" s="5" t="s">
        <v>182</v>
      </c>
      <c r="B90" s="5" t="s">
        <v>183</v>
      </c>
      <c r="C90" s="1">
        <v>5782</v>
      </c>
      <c r="D90" s="2">
        <v>620.15392597717062</v>
      </c>
      <c r="E90" s="1">
        <v>6093</v>
      </c>
      <c r="F90" s="2">
        <v>638.08140489085827</v>
      </c>
      <c r="G90" s="1">
        <v>6439</v>
      </c>
      <c r="H90" s="2">
        <v>703.51762696070818</v>
      </c>
      <c r="I90" s="1">
        <v>6920</v>
      </c>
      <c r="J90" s="2">
        <v>797.63728323699434</v>
      </c>
    </row>
    <row r="91" spans="1:10" x14ac:dyDescent="0.2">
      <c r="A91" s="5" t="s">
        <v>184</v>
      </c>
      <c r="B91" s="5" t="s">
        <v>185</v>
      </c>
      <c r="C91" s="1">
        <v>1080</v>
      </c>
      <c r="D91" s="2">
        <v>625.88888888888891</v>
      </c>
      <c r="E91" s="1">
        <v>1081</v>
      </c>
      <c r="F91" s="2">
        <v>689.01017576318225</v>
      </c>
      <c r="G91" s="1">
        <v>1155</v>
      </c>
      <c r="H91" s="2">
        <v>720.38961038961043</v>
      </c>
      <c r="I91" s="1">
        <v>1312</v>
      </c>
      <c r="J91" s="2">
        <v>759.375</v>
      </c>
    </row>
    <row r="92" spans="1:10" x14ac:dyDescent="0.2">
      <c r="A92" s="5" t="s">
        <v>186</v>
      </c>
      <c r="B92" s="5" t="s">
        <v>187</v>
      </c>
      <c r="C92" s="1">
        <v>39848</v>
      </c>
      <c r="D92" s="2">
        <v>627.81745633406945</v>
      </c>
      <c r="E92" s="1">
        <v>41831</v>
      </c>
      <c r="F92" s="2">
        <v>675.68477923071407</v>
      </c>
      <c r="G92" s="1">
        <v>43157</v>
      </c>
      <c r="H92" s="2">
        <v>752.53724772342844</v>
      </c>
      <c r="I92" s="1">
        <v>43012</v>
      </c>
      <c r="J92" s="2">
        <v>887.91686041104811</v>
      </c>
    </row>
    <row r="93" spans="1:10" x14ac:dyDescent="0.2">
      <c r="A93" s="5" t="s">
        <v>188</v>
      </c>
      <c r="B93" s="5" t="s">
        <v>189</v>
      </c>
      <c r="C93" s="1">
        <v>2108</v>
      </c>
      <c r="D93" s="2">
        <v>622.95066413662232</v>
      </c>
      <c r="E93" s="1">
        <v>2227</v>
      </c>
      <c r="F93" s="2">
        <v>647.20700493938034</v>
      </c>
      <c r="G93" s="1">
        <v>2401</v>
      </c>
      <c r="H93" s="2">
        <v>702.62807163681794</v>
      </c>
      <c r="I93" s="1">
        <v>2538</v>
      </c>
      <c r="J93" s="2">
        <v>813.38455476753347</v>
      </c>
    </row>
    <row r="94" spans="1:10" x14ac:dyDescent="0.2">
      <c r="A94" s="5" t="s">
        <v>190</v>
      </c>
      <c r="B94" s="5" t="s">
        <v>191</v>
      </c>
      <c r="C94" s="1">
        <v>3969</v>
      </c>
      <c r="D94" s="2">
        <v>1025.217939027463</v>
      </c>
      <c r="E94" s="1">
        <v>4176</v>
      </c>
      <c r="F94" s="2">
        <v>1051.4200191570881</v>
      </c>
      <c r="G94" s="1">
        <v>4325</v>
      </c>
      <c r="H94" s="2">
        <v>1177.8104046242775</v>
      </c>
      <c r="I94" s="1">
        <v>4370</v>
      </c>
      <c r="J94" s="2">
        <v>1246.6521739130435</v>
      </c>
    </row>
    <row r="95" spans="1:10" x14ac:dyDescent="0.2">
      <c r="A95" s="5" t="s">
        <v>192</v>
      </c>
      <c r="B95" s="5" t="s">
        <v>193</v>
      </c>
      <c r="C95" s="1">
        <v>2820</v>
      </c>
      <c r="D95" s="2">
        <v>876.16312056737604</v>
      </c>
      <c r="E95" s="1">
        <v>3109</v>
      </c>
      <c r="F95" s="2">
        <v>898.43357992923768</v>
      </c>
      <c r="G95" s="1">
        <v>3307</v>
      </c>
      <c r="H95" s="2">
        <v>1051.3063199274266</v>
      </c>
      <c r="I95" s="1">
        <v>3473</v>
      </c>
      <c r="J95" s="2">
        <v>1184.5896919090123</v>
      </c>
    </row>
    <row r="96" spans="1:10" x14ac:dyDescent="0.2">
      <c r="A96" s="5" t="s">
        <v>194</v>
      </c>
      <c r="B96" s="5" t="s">
        <v>195</v>
      </c>
      <c r="C96" s="1">
        <v>1837</v>
      </c>
      <c r="D96" s="2">
        <v>1404.3222645617857</v>
      </c>
      <c r="E96" s="1">
        <v>1969</v>
      </c>
      <c r="F96" s="2">
        <v>1425.733875063484</v>
      </c>
      <c r="G96" s="1">
        <v>2073</v>
      </c>
      <c r="H96" s="2">
        <v>1543.4539315002412</v>
      </c>
      <c r="I96" s="1">
        <v>2196</v>
      </c>
      <c r="J96" s="2">
        <v>1731.3342440801457</v>
      </c>
    </row>
    <row r="97" spans="1:10" x14ac:dyDescent="0.2">
      <c r="A97" s="5" t="s">
        <v>196</v>
      </c>
      <c r="B97" s="5" t="s">
        <v>197</v>
      </c>
      <c r="C97" s="1">
        <v>3019</v>
      </c>
      <c r="D97" s="2">
        <v>1549.1454123882081</v>
      </c>
      <c r="E97" s="1">
        <v>3415</v>
      </c>
      <c r="F97" s="2">
        <v>1688.3250366032212</v>
      </c>
      <c r="G97" s="1">
        <v>3639</v>
      </c>
      <c r="H97" s="2">
        <v>1880.4781533388295</v>
      </c>
      <c r="I97" s="1">
        <v>4129</v>
      </c>
      <c r="J97" s="2">
        <v>2011.5766529426012</v>
      </c>
    </row>
    <row r="98" spans="1:10" x14ac:dyDescent="0.2">
      <c r="A98" s="5" t="s">
        <v>198</v>
      </c>
      <c r="B98" s="5" t="s">
        <v>199</v>
      </c>
      <c r="C98" s="1">
        <v>193</v>
      </c>
      <c r="D98" s="2">
        <v>866.11398963730574</v>
      </c>
      <c r="E98" s="1">
        <v>251</v>
      </c>
      <c r="F98" s="2">
        <v>896.97211155378488</v>
      </c>
      <c r="G98" s="1">
        <v>254</v>
      </c>
      <c r="H98" s="2">
        <v>1006.1417322834645</v>
      </c>
      <c r="I98" s="1">
        <v>278</v>
      </c>
      <c r="J98" s="2">
        <v>1221.1510791366907</v>
      </c>
    </row>
    <row r="99" spans="1:10" x14ac:dyDescent="0.2">
      <c r="A99" s="5" t="s">
        <v>200</v>
      </c>
      <c r="B99" s="5" t="s">
        <v>201</v>
      </c>
      <c r="C99" s="1">
        <v>2502</v>
      </c>
      <c r="D99" s="2">
        <v>1226.6746602717826</v>
      </c>
      <c r="E99" s="1">
        <v>2735</v>
      </c>
      <c r="F99" s="2">
        <v>1384.5886654478977</v>
      </c>
      <c r="G99" s="1">
        <v>3010</v>
      </c>
      <c r="H99" s="2">
        <v>1544.9667774086379</v>
      </c>
      <c r="I99" s="1">
        <v>3207</v>
      </c>
      <c r="J99" s="2">
        <v>1697.0346117867166</v>
      </c>
    </row>
    <row r="100" spans="1:10" x14ac:dyDescent="0.2">
      <c r="A100" s="5" t="s">
        <v>202</v>
      </c>
      <c r="B100" s="5" t="s">
        <v>203</v>
      </c>
      <c r="C100" s="1">
        <v>1390</v>
      </c>
      <c r="D100" s="2">
        <v>1114.8992805755395</v>
      </c>
      <c r="E100" s="1">
        <v>1522</v>
      </c>
      <c r="F100" s="2">
        <v>1207.8580814717479</v>
      </c>
      <c r="G100" s="1">
        <v>1749</v>
      </c>
      <c r="H100" s="2">
        <v>1398.3819325328759</v>
      </c>
      <c r="I100" s="1">
        <v>1915</v>
      </c>
      <c r="J100" s="2">
        <v>1553.686684073107</v>
      </c>
    </row>
    <row r="101" spans="1:10" x14ac:dyDescent="0.2">
      <c r="A101" s="5" t="s">
        <v>204</v>
      </c>
      <c r="B101" s="5" t="s">
        <v>205</v>
      </c>
      <c r="C101" s="1">
        <v>961</v>
      </c>
      <c r="D101" s="2">
        <v>1177.0863683662851</v>
      </c>
      <c r="E101" s="1">
        <v>973</v>
      </c>
      <c r="F101" s="2">
        <v>1236.1562178828365</v>
      </c>
      <c r="G101" s="1">
        <v>1075</v>
      </c>
      <c r="H101" s="2">
        <v>1322.3627906976744</v>
      </c>
      <c r="I101" s="1">
        <v>1158</v>
      </c>
      <c r="J101" s="2">
        <v>1444.6804835924008</v>
      </c>
    </row>
    <row r="102" spans="1:10" x14ac:dyDescent="0.2">
      <c r="A102" s="5" t="s">
        <v>206</v>
      </c>
      <c r="B102" s="5" t="s">
        <v>207</v>
      </c>
      <c r="C102" s="1">
        <v>2366</v>
      </c>
      <c r="D102" s="2">
        <v>1209.3871513102281</v>
      </c>
      <c r="E102" s="1">
        <v>2581</v>
      </c>
      <c r="F102" s="2">
        <v>1258.3959705540487</v>
      </c>
      <c r="G102" s="1">
        <v>2566</v>
      </c>
      <c r="H102" s="2">
        <v>1371.8394388152765</v>
      </c>
      <c r="I102" s="1">
        <v>2535</v>
      </c>
      <c r="J102" s="2">
        <v>1523.4122287968441</v>
      </c>
    </row>
    <row r="103" spans="1:10" x14ac:dyDescent="0.2">
      <c r="A103" s="5" t="s">
        <v>208</v>
      </c>
      <c r="B103" s="5" t="s">
        <v>209</v>
      </c>
      <c r="C103" s="1">
        <v>2244</v>
      </c>
      <c r="D103" s="2">
        <v>782.68716577540113</v>
      </c>
      <c r="E103" s="1">
        <v>2198</v>
      </c>
      <c r="F103" s="2">
        <v>822.47497725204732</v>
      </c>
      <c r="G103" s="1">
        <v>2256</v>
      </c>
      <c r="H103" s="2">
        <v>920.01773049645385</v>
      </c>
      <c r="I103" s="1">
        <v>2307</v>
      </c>
      <c r="J103" s="2">
        <v>1027.0351105331599</v>
      </c>
    </row>
    <row r="104" spans="1:10" x14ac:dyDescent="0.2">
      <c r="A104" s="5" t="s">
        <v>210</v>
      </c>
      <c r="B104" s="5" t="s">
        <v>211</v>
      </c>
      <c r="C104" s="1">
        <v>2108</v>
      </c>
      <c r="D104" s="2">
        <v>832.73244781783683</v>
      </c>
      <c r="E104" s="1">
        <v>2382</v>
      </c>
      <c r="F104" s="2">
        <v>889.73131821998334</v>
      </c>
      <c r="G104" s="1">
        <v>2672</v>
      </c>
      <c r="H104" s="2">
        <v>962.20059880239512</v>
      </c>
      <c r="I104" s="1">
        <v>2835</v>
      </c>
      <c r="J104" s="2">
        <v>1095.9118165784832</v>
      </c>
    </row>
    <row r="105" spans="1:10" x14ac:dyDescent="0.2">
      <c r="A105" s="5" t="s">
        <v>212</v>
      </c>
      <c r="B105" s="5" t="s">
        <v>213</v>
      </c>
      <c r="C105" s="1">
        <v>4341</v>
      </c>
      <c r="D105" s="2">
        <v>963.76641326883203</v>
      </c>
      <c r="E105" s="1">
        <v>4463</v>
      </c>
      <c r="F105" s="2">
        <v>979.72440062738076</v>
      </c>
      <c r="G105" s="1">
        <v>4556</v>
      </c>
      <c r="H105" s="2">
        <v>1062.1685689201051</v>
      </c>
      <c r="I105" s="1">
        <v>4571</v>
      </c>
      <c r="J105" s="2">
        <v>1156.3137169109605</v>
      </c>
    </row>
    <row r="106" spans="1:10" x14ac:dyDescent="0.2">
      <c r="A106" s="5" t="s">
        <v>214</v>
      </c>
      <c r="B106" s="5" t="s">
        <v>215</v>
      </c>
      <c r="C106" s="1">
        <v>699</v>
      </c>
      <c r="D106" s="2">
        <v>2397.7253218884116</v>
      </c>
      <c r="E106" s="1">
        <v>720</v>
      </c>
      <c r="F106" s="2">
        <v>2372.875</v>
      </c>
      <c r="G106" s="1">
        <v>726</v>
      </c>
      <c r="H106" s="2">
        <v>2382.9614325068869</v>
      </c>
      <c r="I106" s="1">
        <v>746</v>
      </c>
      <c r="J106" s="2">
        <v>2424.1823056300268</v>
      </c>
    </row>
    <row r="107" spans="1:10" x14ac:dyDescent="0.2">
      <c r="A107" s="5" t="s">
        <v>216</v>
      </c>
      <c r="B107" s="5" t="s">
        <v>217</v>
      </c>
      <c r="C107" s="1">
        <v>1925</v>
      </c>
      <c r="D107" s="2">
        <v>818.03116883116888</v>
      </c>
      <c r="E107" s="1">
        <v>2056</v>
      </c>
      <c r="F107" s="2">
        <v>867.69455252918294</v>
      </c>
      <c r="G107" s="1">
        <v>2300</v>
      </c>
      <c r="H107" s="2">
        <v>911.82608695652164</v>
      </c>
      <c r="I107" s="1">
        <v>2349</v>
      </c>
      <c r="J107" s="2">
        <v>998.7611749680716</v>
      </c>
    </row>
    <row r="108" spans="1:10" x14ac:dyDescent="0.2">
      <c r="A108" s="5" t="s">
        <v>218</v>
      </c>
      <c r="B108" s="5" t="s">
        <v>219</v>
      </c>
      <c r="C108" s="1">
        <v>1875</v>
      </c>
      <c r="D108" s="2">
        <v>506.87466666666671</v>
      </c>
      <c r="E108" s="1">
        <v>1933</v>
      </c>
      <c r="F108" s="2">
        <v>543.42990170719099</v>
      </c>
      <c r="G108" s="1">
        <v>1981</v>
      </c>
      <c r="H108" s="2">
        <v>572.11509338717826</v>
      </c>
      <c r="I108" s="1">
        <v>1926</v>
      </c>
      <c r="J108" s="2">
        <v>628.07372793354114</v>
      </c>
    </row>
    <row r="109" spans="1:10" x14ac:dyDescent="0.2">
      <c r="A109" s="5" t="s">
        <v>220</v>
      </c>
      <c r="B109" s="5" t="s">
        <v>221</v>
      </c>
      <c r="C109" s="1">
        <v>4799</v>
      </c>
      <c r="D109" s="2">
        <v>477.1014794748906</v>
      </c>
      <c r="E109" s="1">
        <v>4748</v>
      </c>
      <c r="F109" s="2">
        <v>515.56023588879532</v>
      </c>
      <c r="G109" s="1">
        <v>4655</v>
      </c>
      <c r="H109" s="2">
        <v>558.74973147153594</v>
      </c>
      <c r="I109" s="1">
        <v>4533</v>
      </c>
      <c r="J109" s="2">
        <v>600.86256342378124</v>
      </c>
    </row>
    <row r="110" spans="1:10" x14ac:dyDescent="0.2">
      <c r="A110" s="5" t="s">
        <v>222</v>
      </c>
      <c r="B110" s="5" t="s">
        <v>223</v>
      </c>
      <c r="C110" s="1">
        <v>1981</v>
      </c>
      <c r="D110" s="2">
        <v>898.59666834931863</v>
      </c>
      <c r="E110" s="1">
        <v>1922</v>
      </c>
      <c r="F110" s="2">
        <v>945.7700312174818</v>
      </c>
      <c r="G110" s="1">
        <v>1860</v>
      </c>
      <c r="H110" s="2">
        <v>999.41397849462362</v>
      </c>
      <c r="I110" s="1">
        <v>1802</v>
      </c>
      <c r="J110" s="2">
        <v>1160.1331853496115</v>
      </c>
    </row>
    <row r="111" spans="1:10" x14ac:dyDescent="0.2">
      <c r="A111" s="5" t="s">
        <v>224</v>
      </c>
      <c r="B111" s="5" t="s">
        <v>225</v>
      </c>
      <c r="C111" s="1">
        <v>247</v>
      </c>
      <c r="D111" s="2">
        <v>624.85829959514172</v>
      </c>
      <c r="E111" s="1">
        <v>237</v>
      </c>
      <c r="F111" s="2">
        <v>576.83544303797476</v>
      </c>
      <c r="G111" s="1">
        <v>253</v>
      </c>
      <c r="H111" s="2">
        <v>652.76679841897237</v>
      </c>
      <c r="I111" s="1">
        <v>276</v>
      </c>
      <c r="J111" s="2">
        <v>774.27536231884062</v>
      </c>
    </row>
    <row r="112" spans="1:10" x14ac:dyDescent="0.2">
      <c r="A112" s="5" t="s">
        <v>226</v>
      </c>
      <c r="B112" s="5" t="s">
        <v>227</v>
      </c>
      <c r="C112" s="1">
        <v>246</v>
      </c>
      <c r="D112" s="2">
        <v>642.03252032520322</v>
      </c>
      <c r="E112" s="1">
        <v>212</v>
      </c>
      <c r="F112" s="2">
        <v>591.69811320754718</v>
      </c>
      <c r="G112" s="1">
        <v>232</v>
      </c>
      <c r="H112" s="2">
        <v>672.06896551724151</v>
      </c>
      <c r="I112" s="1">
        <v>248</v>
      </c>
      <c r="J112" s="2">
        <v>788.91129032258073</v>
      </c>
    </row>
    <row r="113" spans="1:10" x14ac:dyDescent="0.2">
      <c r="A113" s="5" t="s">
        <v>228</v>
      </c>
      <c r="B113" s="5" t="s">
        <v>229</v>
      </c>
      <c r="C113" s="1">
        <v>1309</v>
      </c>
      <c r="D113" s="2">
        <v>541.94805194805201</v>
      </c>
      <c r="E113" s="1">
        <v>1348</v>
      </c>
      <c r="F113" s="2">
        <v>542.01780415430267</v>
      </c>
      <c r="G113" s="1">
        <v>1390</v>
      </c>
      <c r="H113" s="2">
        <v>567.74100719424462</v>
      </c>
      <c r="I113" s="1">
        <v>1456</v>
      </c>
      <c r="J113" s="2">
        <v>652.25274725274733</v>
      </c>
    </row>
    <row r="114" spans="1:10" x14ac:dyDescent="0.2">
      <c r="A114" s="5" t="s">
        <v>230</v>
      </c>
      <c r="B114" s="5" t="s">
        <v>231</v>
      </c>
      <c r="C114" s="1">
        <v>6321</v>
      </c>
      <c r="D114" s="2">
        <v>475.51811422243316</v>
      </c>
      <c r="E114" s="1">
        <v>6318</v>
      </c>
      <c r="F114" s="2">
        <v>511.48306426084213</v>
      </c>
      <c r="G114" s="1">
        <v>6626</v>
      </c>
      <c r="H114" s="2">
        <v>529.90039239360101</v>
      </c>
      <c r="I114" s="1">
        <v>7001</v>
      </c>
      <c r="J114" s="2">
        <v>611.47121839737179</v>
      </c>
    </row>
    <row r="115" spans="1:10" x14ac:dyDescent="0.2">
      <c r="A115" s="5" t="s">
        <v>232</v>
      </c>
      <c r="B115" s="5" t="s">
        <v>233</v>
      </c>
      <c r="C115" s="1">
        <v>180</v>
      </c>
      <c r="D115" s="2">
        <v>265.88888888888891</v>
      </c>
      <c r="E115" s="1">
        <v>175</v>
      </c>
      <c r="F115" s="2">
        <v>297.42857142857144</v>
      </c>
      <c r="G115" s="1">
        <v>168</v>
      </c>
      <c r="H115" s="2">
        <v>327.5595238095238</v>
      </c>
      <c r="I115" s="1">
        <v>168</v>
      </c>
      <c r="J115" s="2">
        <v>395.89285714285717</v>
      </c>
    </row>
    <row r="116" spans="1:10" x14ac:dyDescent="0.2">
      <c r="A116" s="5" t="s">
        <v>234</v>
      </c>
      <c r="B116" s="5" t="s">
        <v>235</v>
      </c>
      <c r="C116" s="1">
        <v>262</v>
      </c>
      <c r="D116" s="2">
        <v>539.73282442748098</v>
      </c>
      <c r="E116" s="1">
        <v>239</v>
      </c>
      <c r="F116" s="2">
        <v>598.70292887029291</v>
      </c>
      <c r="G116" s="1">
        <v>224</v>
      </c>
      <c r="H116" s="2">
        <v>633.88392857142867</v>
      </c>
      <c r="I116" s="1">
        <v>215</v>
      </c>
      <c r="J116" s="2">
        <v>751.48837209302326</v>
      </c>
    </row>
    <row r="117" spans="1:10" x14ac:dyDescent="0.2">
      <c r="A117" s="5" t="s">
        <v>236</v>
      </c>
      <c r="B117" s="5" t="s">
        <v>237</v>
      </c>
      <c r="C117" s="1">
        <v>1376</v>
      </c>
      <c r="D117" s="2">
        <v>649.49854651162798</v>
      </c>
      <c r="E117" s="1">
        <v>1367</v>
      </c>
      <c r="F117" s="2">
        <v>715.38405267008056</v>
      </c>
      <c r="G117" s="1">
        <v>1354</v>
      </c>
      <c r="H117" s="2">
        <v>762.16395864106357</v>
      </c>
      <c r="I117" s="1">
        <v>1247</v>
      </c>
      <c r="J117" s="2">
        <v>877.49799518845225</v>
      </c>
    </row>
    <row r="118" spans="1:10" x14ac:dyDescent="0.2">
      <c r="A118" s="5" t="s">
        <v>238</v>
      </c>
      <c r="B118" s="5" t="s">
        <v>239</v>
      </c>
      <c r="C118" s="1">
        <v>1325</v>
      </c>
      <c r="D118" s="2">
        <v>545.28301886792451</v>
      </c>
      <c r="E118" s="1">
        <v>1300</v>
      </c>
      <c r="F118" s="2">
        <v>538.30769230769238</v>
      </c>
      <c r="G118" s="1">
        <v>1290</v>
      </c>
      <c r="H118" s="2">
        <v>576.06976744186045</v>
      </c>
      <c r="I118" s="1">
        <v>1247</v>
      </c>
      <c r="J118" s="2">
        <v>647.05693664795501</v>
      </c>
    </row>
    <row r="119" spans="1:10" x14ac:dyDescent="0.2">
      <c r="A119" s="5" t="s">
        <v>240</v>
      </c>
      <c r="B119" s="5" t="s">
        <v>241</v>
      </c>
      <c r="C119" s="1">
        <v>632</v>
      </c>
      <c r="D119" s="2">
        <v>485.36392405063287</v>
      </c>
      <c r="E119" s="1">
        <v>628</v>
      </c>
      <c r="F119" s="2">
        <v>567.11783439490443</v>
      </c>
      <c r="G119" s="1">
        <v>643</v>
      </c>
      <c r="H119" s="2">
        <v>583.11041990668741</v>
      </c>
      <c r="I119" s="1">
        <v>636</v>
      </c>
      <c r="J119" s="2">
        <v>658.33333333333337</v>
      </c>
    </row>
    <row r="120" spans="1:10" x14ac:dyDescent="0.2">
      <c r="A120" s="5" t="s">
        <v>242</v>
      </c>
      <c r="B120" s="5" t="s">
        <v>243</v>
      </c>
      <c r="C120" s="1">
        <v>2001</v>
      </c>
      <c r="D120" s="2">
        <v>552.31884057971013</v>
      </c>
      <c r="E120" s="1">
        <v>2019</v>
      </c>
      <c r="F120" s="2">
        <v>581.23823675086669</v>
      </c>
      <c r="G120" s="1">
        <v>2003</v>
      </c>
      <c r="H120" s="2">
        <v>641.02346480279584</v>
      </c>
      <c r="I120" s="1">
        <v>1989</v>
      </c>
      <c r="J120" s="2">
        <v>668.76319758672707</v>
      </c>
    </row>
    <row r="121" spans="1:10" x14ac:dyDescent="0.2">
      <c r="A121" s="5" t="s">
        <v>244</v>
      </c>
      <c r="B121" s="5" t="s">
        <v>245</v>
      </c>
      <c r="C121" s="1">
        <v>387</v>
      </c>
      <c r="D121" s="2">
        <v>482.27390180878552</v>
      </c>
      <c r="E121" s="1">
        <v>374</v>
      </c>
      <c r="F121" s="2">
        <v>524.59893048128345</v>
      </c>
      <c r="G121" s="1">
        <v>365</v>
      </c>
      <c r="H121" s="2">
        <v>591.34246575342468</v>
      </c>
      <c r="I121" s="1">
        <v>361</v>
      </c>
      <c r="J121" s="2">
        <v>586.39889196675904</v>
      </c>
    </row>
    <row r="122" spans="1:10" x14ac:dyDescent="0.2">
      <c r="A122" s="5" t="s">
        <v>246</v>
      </c>
      <c r="B122" s="5" t="s">
        <v>247</v>
      </c>
      <c r="C122" s="1">
        <v>508</v>
      </c>
      <c r="D122" s="2">
        <v>530.45275590551194</v>
      </c>
      <c r="E122" s="1">
        <v>492</v>
      </c>
      <c r="F122" s="2">
        <v>556.52439024390242</v>
      </c>
      <c r="G122" s="1">
        <v>472</v>
      </c>
      <c r="H122" s="2">
        <v>588.87711864406776</v>
      </c>
      <c r="I122" s="1">
        <v>470</v>
      </c>
      <c r="J122" s="2">
        <v>639.23404255319144</v>
      </c>
    </row>
    <row r="123" spans="1:10" x14ac:dyDescent="0.2">
      <c r="A123" s="5" t="s">
        <v>248</v>
      </c>
      <c r="B123" s="5" t="s">
        <v>249</v>
      </c>
      <c r="C123" s="1">
        <v>388</v>
      </c>
      <c r="D123" s="2">
        <v>584.48453608247416</v>
      </c>
      <c r="E123" s="1">
        <v>392</v>
      </c>
      <c r="F123" s="2">
        <v>645.6887755102041</v>
      </c>
      <c r="G123" s="1">
        <v>375</v>
      </c>
      <c r="H123" s="2">
        <v>664.88</v>
      </c>
      <c r="I123" s="1">
        <v>368</v>
      </c>
      <c r="J123" s="2">
        <v>700.08152173913038</v>
      </c>
    </row>
    <row r="124" spans="1:10" x14ac:dyDescent="0.2">
      <c r="A124" s="5" t="s">
        <v>250</v>
      </c>
      <c r="B124" s="5" t="s">
        <v>251</v>
      </c>
      <c r="C124" s="1">
        <v>38</v>
      </c>
      <c r="D124" s="2">
        <v>553.68421052631572</v>
      </c>
      <c r="E124" s="1">
        <v>38</v>
      </c>
      <c r="F124" s="2">
        <v>695.78947368421052</v>
      </c>
      <c r="G124" s="1">
        <v>32</v>
      </c>
      <c r="H124" s="2">
        <v>737.5</v>
      </c>
      <c r="I124" s="1">
        <v>27</v>
      </c>
      <c r="J124" s="2">
        <v>948.88888888888891</v>
      </c>
    </row>
    <row r="125" spans="1:10" x14ac:dyDescent="0.2">
      <c r="A125" s="5" t="s">
        <v>252</v>
      </c>
      <c r="B125" s="5" t="s">
        <v>253</v>
      </c>
      <c r="C125" s="1">
        <v>1663</v>
      </c>
      <c r="D125" s="2">
        <v>367.91942273000603</v>
      </c>
      <c r="E125" s="1">
        <v>1769</v>
      </c>
      <c r="F125" s="2">
        <v>405.32504239683436</v>
      </c>
      <c r="G125" s="1">
        <v>1855</v>
      </c>
      <c r="H125" s="2">
        <v>450.43665768194074</v>
      </c>
      <c r="I125" s="1">
        <v>1826</v>
      </c>
      <c r="J125" s="2">
        <v>490.03285870755752</v>
      </c>
    </row>
    <row r="126" spans="1:10" x14ac:dyDescent="0.2">
      <c r="A126" s="5" t="s">
        <v>254</v>
      </c>
      <c r="B126" s="5" t="s">
        <v>255</v>
      </c>
      <c r="C126" s="1">
        <v>773</v>
      </c>
      <c r="D126" s="2">
        <v>566.94695989650711</v>
      </c>
      <c r="E126" s="1">
        <v>767</v>
      </c>
      <c r="F126" s="2">
        <v>653.27249022164278</v>
      </c>
      <c r="G126" s="1">
        <v>763</v>
      </c>
      <c r="H126" s="2">
        <v>769.56749672346018</v>
      </c>
      <c r="I126" s="1">
        <v>773</v>
      </c>
      <c r="J126" s="2">
        <v>795.23932729624846</v>
      </c>
    </row>
    <row r="127" spans="1:10" x14ac:dyDescent="0.2">
      <c r="A127" s="5" t="s">
        <v>256</v>
      </c>
      <c r="B127" s="5" t="s">
        <v>257</v>
      </c>
      <c r="C127" s="1">
        <v>918</v>
      </c>
      <c r="D127" s="2">
        <v>591.56862745098044</v>
      </c>
      <c r="E127" s="1">
        <v>979</v>
      </c>
      <c r="F127" s="2">
        <v>647.87538304392228</v>
      </c>
      <c r="G127" s="1">
        <v>1064</v>
      </c>
      <c r="H127" s="2">
        <v>729.93421052631584</v>
      </c>
      <c r="I127" s="1">
        <v>1071</v>
      </c>
      <c r="J127" s="2">
        <v>842.97852474323065</v>
      </c>
    </row>
    <row r="128" spans="1:10" x14ac:dyDescent="0.2">
      <c r="A128" s="5" t="s">
        <v>258</v>
      </c>
      <c r="B128" s="5" t="s">
        <v>259</v>
      </c>
      <c r="C128" s="1">
        <v>816</v>
      </c>
      <c r="D128" s="2">
        <v>547.23039215686276</v>
      </c>
      <c r="E128" s="1">
        <v>891</v>
      </c>
      <c r="F128" s="2">
        <v>593.7037037037037</v>
      </c>
      <c r="G128" s="1">
        <v>914</v>
      </c>
      <c r="H128" s="2">
        <v>645.05470459518597</v>
      </c>
      <c r="I128" s="1">
        <v>1034</v>
      </c>
      <c r="J128" s="2">
        <v>739.00386847195352</v>
      </c>
    </row>
    <row r="129" spans="1:10" x14ac:dyDescent="0.2">
      <c r="A129" s="5" t="s">
        <v>260</v>
      </c>
      <c r="B129" s="5" t="s">
        <v>261</v>
      </c>
      <c r="C129" s="1">
        <v>797</v>
      </c>
      <c r="D129" s="2">
        <v>814.06524466750318</v>
      </c>
      <c r="E129" s="1">
        <v>833</v>
      </c>
      <c r="F129" s="2">
        <v>839.75990396158466</v>
      </c>
      <c r="G129" s="1">
        <v>900</v>
      </c>
      <c r="H129" s="2">
        <v>901.51111111111118</v>
      </c>
      <c r="I129" s="1">
        <v>936</v>
      </c>
      <c r="J129" s="2">
        <v>990.33119658119665</v>
      </c>
    </row>
    <row r="130" spans="1:10" x14ac:dyDescent="0.2">
      <c r="A130" s="5" t="s">
        <v>262</v>
      </c>
      <c r="B130" s="5" t="s">
        <v>263</v>
      </c>
      <c r="C130" s="1">
        <v>2601</v>
      </c>
      <c r="D130" s="2">
        <v>840.04613610149943</v>
      </c>
      <c r="E130" s="1">
        <v>2628</v>
      </c>
      <c r="F130" s="2">
        <v>924.64992389649922</v>
      </c>
      <c r="G130" s="1">
        <v>2596</v>
      </c>
      <c r="H130" s="2">
        <v>1008.671032357473</v>
      </c>
      <c r="I130" s="1">
        <v>2543</v>
      </c>
      <c r="J130" s="2">
        <v>1120.0983090837592</v>
      </c>
    </row>
    <row r="131" spans="1:10" x14ac:dyDescent="0.2">
      <c r="A131" s="5" t="s">
        <v>264</v>
      </c>
      <c r="B131" s="5" t="s">
        <v>265</v>
      </c>
      <c r="C131" s="1">
        <v>81</v>
      </c>
      <c r="D131" s="2">
        <v>692.83950617283949</v>
      </c>
      <c r="E131" s="1">
        <v>85</v>
      </c>
      <c r="F131" s="2">
        <v>635.52941176470586</v>
      </c>
      <c r="G131" s="1">
        <v>92</v>
      </c>
      <c r="H131" s="2">
        <v>806.95652173913038</v>
      </c>
      <c r="I131" s="1">
        <v>86</v>
      </c>
      <c r="J131" s="2">
        <v>883.37209302325584</v>
      </c>
    </row>
    <row r="132" spans="1:10" x14ac:dyDescent="0.2">
      <c r="A132" s="5" t="s">
        <v>266</v>
      </c>
      <c r="B132" s="5" t="s">
        <v>267</v>
      </c>
      <c r="C132" s="1">
        <v>38</v>
      </c>
      <c r="D132" s="2">
        <v>872.36842105263156</v>
      </c>
      <c r="E132" s="1">
        <v>44</v>
      </c>
      <c r="F132" s="2">
        <v>752.72727272727263</v>
      </c>
      <c r="G132" s="1">
        <v>45</v>
      </c>
      <c r="H132" s="2">
        <v>767.33333333333326</v>
      </c>
      <c r="I132" s="1">
        <v>47</v>
      </c>
      <c r="J132" s="2">
        <v>779.78723404255311</v>
      </c>
    </row>
    <row r="133" spans="1:10" x14ac:dyDescent="0.2">
      <c r="A133" s="5" t="s">
        <v>268</v>
      </c>
      <c r="B133" s="5" t="s">
        <v>269</v>
      </c>
      <c r="C133" s="1">
        <v>411</v>
      </c>
      <c r="D133" s="2">
        <v>650.12165450121654</v>
      </c>
      <c r="E133" s="1">
        <v>472</v>
      </c>
      <c r="F133" s="2">
        <v>723.60169491525426</v>
      </c>
      <c r="G133" s="1">
        <v>506</v>
      </c>
      <c r="H133" s="2">
        <v>844.56521739130437</v>
      </c>
      <c r="I133" s="1">
        <v>531</v>
      </c>
      <c r="J133" s="2">
        <v>987.38229755178895</v>
      </c>
    </row>
    <row r="134" spans="1:10" x14ac:dyDescent="0.2">
      <c r="A134" s="5" t="s">
        <v>270</v>
      </c>
      <c r="B134" s="5" t="s">
        <v>271</v>
      </c>
      <c r="C134" s="1">
        <v>1171</v>
      </c>
      <c r="D134" s="2">
        <v>747.89069171648157</v>
      </c>
      <c r="E134" s="1">
        <v>1224</v>
      </c>
      <c r="F134" s="2">
        <v>775.75163398692803</v>
      </c>
      <c r="G134" s="1">
        <v>1263</v>
      </c>
      <c r="H134" s="2">
        <v>837.13380839271565</v>
      </c>
      <c r="I134" s="1">
        <v>1211</v>
      </c>
      <c r="J134" s="2">
        <v>973.93889347646575</v>
      </c>
    </row>
    <row r="135" spans="1:10" x14ac:dyDescent="0.2">
      <c r="A135" s="5" t="s">
        <v>272</v>
      </c>
      <c r="B135" s="5" t="s">
        <v>273</v>
      </c>
      <c r="C135" s="1">
        <v>169</v>
      </c>
      <c r="D135" s="2">
        <v>768.4023668639054</v>
      </c>
      <c r="E135" s="1">
        <v>156</v>
      </c>
      <c r="F135" s="2">
        <v>922.69230769230774</v>
      </c>
      <c r="G135" s="1">
        <v>157</v>
      </c>
      <c r="H135" s="2">
        <v>895.41401273885356</v>
      </c>
      <c r="I135" s="1">
        <v>152</v>
      </c>
      <c r="J135" s="2">
        <v>962.56578947368416</v>
      </c>
    </row>
    <row r="136" spans="1:10" x14ac:dyDescent="0.2">
      <c r="A136" s="5" t="s">
        <v>274</v>
      </c>
      <c r="B136" s="5" t="s">
        <v>275</v>
      </c>
      <c r="C136" s="1">
        <v>5246</v>
      </c>
      <c r="D136" s="2">
        <v>807.74876096073206</v>
      </c>
      <c r="E136" s="1">
        <v>5199</v>
      </c>
      <c r="F136" s="2">
        <v>855.40296210809765</v>
      </c>
      <c r="G136" s="1">
        <v>5039</v>
      </c>
      <c r="H136" s="2">
        <v>959.62492558047234</v>
      </c>
      <c r="I136" s="1">
        <v>4870</v>
      </c>
      <c r="J136" s="2">
        <v>1049.7577002053386</v>
      </c>
    </row>
    <row r="137" spans="1:10" x14ac:dyDescent="0.2">
      <c r="A137" s="5" t="s">
        <v>276</v>
      </c>
      <c r="B137" s="5" t="s">
        <v>277</v>
      </c>
      <c r="C137" s="1">
        <v>1965</v>
      </c>
      <c r="D137" s="2">
        <v>707.63867684478373</v>
      </c>
      <c r="E137" s="1">
        <v>2003</v>
      </c>
      <c r="F137" s="2">
        <v>700.00499251123313</v>
      </c>
      <c r="G137" s="1">
        <v>1951</v>
      </c>
      <c r="H137" s="2">
        <v>768.9851358277806</v>
      </c>
      <c r="I137" s="1">
        <v>1814</v>
      </c>
      <c r="J137" s="2">
        <v>870.47409040793821</v>
      </c>
    </row>
    <row r="138" spans="1:10" x14ac:dyDescent="0.2">
      <c r="A138" s="5" t="s">
        <v>278</v>
      </c>
      <c r="B138" s="5" t="s">
        <v>279</v>
      </c>
      <c r="C138" s="1">
        <v>330</v>
      </c>
      <c r="D138" s="2">
        <v>1057.5454545454545</v>
      </c>
      <c r="E138" s="1">
        <v>333</v>
      </c>
      <c r="F138" s="2">
        <v>1086.4564564564564</v>
      </c>
      <c r="G138" s="1">
        <v>339</v>
      </c>
      <c r="H138" s="2">
        <v>1124.6017699115046</v>
      </c>
      <c r="I138" s="1">
        <v>316</v>
      </c>
      <c r="J138" s="2">
        <v>1163.0696202531647</v>
      </c>
    </row>
    <row r="139" spans="1:10" x14ac:dyDescent="0.2">
      <c r="A139" s="5" t="s">
        <v>280</v>
      </c>
      <c r="B139" s="5" t="s">
        <v>281</v>
      </c>
      <c r="C139" s="1">
        <v>991</v>
      </c>
      <c r="D139" s="2">
        <v>639.61654894046421</v>
      </c>
      <c r="E139" s="1">
        <v>968</v>
      </c>
      <c r="F139" s="2">
        <v>672.71694214876038</v>
      </c>
      <c r="G139" s="1">
        <v>871</v>
      </c>
      <c r="H139" s="2">
        <v>733.69690011481055</v>
      </c>
      <c r="I139" s="1">
        <v>836</v>
      </c>
      <c r="J139" s="2">
        <v>762.6555023923446</v>
      </c>
    </row>
    <row r="140" spans="1:10" x14ac:dyDescent="0.2">
      <c r="A140" s="5" t="s">
        <v>282</v>
      </c>
      <c r="B140" s="5" t="s">
        <v>283</v>
      </c>
      <c r="C140" s="1">
        <v>179</v>
      </c>
      <c r="D140" s="2">
        <v>764.24581005586606</v>
      </c>
      <c r="E140" s="1">
        <v>164</v>
      </c>
      <c r="F140" s="2">
        <v>680.2439024390244</v>
      </c>
      <c r="G140" s="1">
        <v>156</v>
      </c>
      <c r="H140" s="2">
        <v>816.02564102564099</v>
      </c>
      <c r="I140" s="1">
        <v>171</v>
      </c>
      <c r="J140" s="2">
        <v>890.17543859649118</v>
      </c>
    </row>
    <row r="141" spans="1:10" x14ac:dyDescent="0.2">
      <c r="A141" s="5" t="s">
        <v>284</v>
      </c>
      <c r="B141" s="5" t="s">
        <v>285</v>
      </c>
      <c r="C141" s="1">
        <v>621</v>
      </c>
      <c r="D141" s="2">
        <v>1095.2334943639291</v>
      </c>
      <c r="E141" s="1">
        <v>613</v>
      </c>
      <c r="F141" s="2">
        <v>1113.0179445350734</v>
      </c>
      <c r="G141" s="1">
        <v>605</v>
      </c>
      <c r="H141" s="2">
        <v>1221.1239669421489</v>
      </c>
      <c r="I141" s="1">
        <v>606</v>
      </c>
      <c r="J141" s="2">
        <v>1297.6567656765676</v>
      </c>
    </row>
    <row r="142" spans="1:10" x14ac:dyDescent="0.2">
      <c r="A142" s="5" t="s">
        <v>286</v>
      </c>
      <c r="B142" s="5" t="s">
        <v>287</v>
      </c>
      <c r="C142" s="1">
        <v>22</v>
      </c>
      <c r="D142" s="2">
        <v>668.18181818181824</v>
      </c>
      <c r="E142" s="1">
        <v>20</v>
      </c>
      <c r="F142" s="2">
        <v>740.5</v>
      </c>
      <c r="G142" s="1">
        <v>20</v>
      </c>
      <c r="H142" s="2">
        <v>860</v>
      </c>
      <c r="I142" s="1">
        <v>21</v>
      </c>
      <c r="J142" s="2">
        <v>1039.5238095238094</v>
      </c>
    </row>
    <row r="143" spans="1:10" x14ac:dyDescent="0.2">
      <c r="A143" s="5" t="s">
        <v>288</v>
      </c>
      <c r="B143" s="5" t="s">
        <v>289</v>
      </c>
      <c r="C143" s="1">
        <v>744</v>
      </c>
      <c r="D143" s="2">
        <v>764.20698924731187</v>
      </c>
      <c r="E143" s="1">
        <v>767</v>
      </c>
      <c r="F143" s="2">
        <v>792.45110821382013</v>
      </c>
      <c r="G143" s="1">
        <v>834</v>
      </c>
      <c r="H143" s="2">
        <v>847.92565947242201</v>
      </c>
      <c r="I143" s="1">
        <v>863</v>
      </c>
      <c r="J143" s="2">
        <v>983.59212050984945</v>
      </c>
    </row>
    <row r="144" spans="1:10" x14ac:dyDescent="0.2">
      <c r="A144" s="5" t="s">
        <v>290</v>
      </c>
      <c r="B144" s="5" t="s">
        <v>291</v>
      </c>
      <c r="C144" s="1">
        <v>1608</v>
      </c>
      <c r="D144" s="2">
        <v>489.51492537313436</v>
      </c>
      <c r="E144" s="1">
        <v>1600</v>
      </c>
      <c r="F144" s="2">
        <v>496.91875000000005</v>
      </c>
      <c r="G144" s="1">
        <v>1640</v>
      </c>
      <c r="H144" s="2">
        <v>537.58536585365857</v>
      </c>
      <c r="I144" s="1">
        <v>1688</v>
      </c>
      <c r="J144" s="2">
        <v>632.60663507109007</v>
      </c>
    </row>
    <row r="145" spans="1:10" x14ac:dyDescent="0.2">
      <c r="A145" s="5" t="s">
        <v>292</v>
      </c>
      <c r="B145" s="5" t="s">
        <v>293</v>
      </c>
      <c r="C145" s="1">
        <v>533</v>
      </c>
      <c r="D145" s="2">
        <v>468.44277673545969</v>
      </c>
      <c r="E145" s="1">
        <v>525</v>
      </c>
      <c r="F145" s="2">
        <v>535.88571428571424</v>
      </c>
      <c r="G145" s="1">
        <v>500</v>
      </c>
      <c r="H145" s="2">
        <v>574.74</v>
      </c>
      <c r="I145" s="1">
        <v>412</v>
      </c>
      <c r="J145" s="2">
        <v>697.6699029126213</v>
      </c>
    </row>
    <row r="146" spans="1:10" x14ac:dyDescent="0.2">
      <c r="A146" s="5" t="s">
        <v>294</v>
      </c>
      <c r="B146" s="5" t="s">
        <v>295</v>
      </c>
      <c r="C146" s="1">
        <v>648</v>
      </c>
      <c r="D146" s="2">
        <v>595.26234567901236</v>
      </c>
      <c r="E146" s="1">
        <v>636</v>
      </c>
      <c r="F146" s="2">
        <v>625.59748427672957</v>
      </c>
      <c r="G146" s="1">
        <v>610</v>
      </c>
      <c r="H146" s="2">
        <v>684</v>
      </c>
      <c r="I146" s="1">
        <v>675</v>
      </c>
      <c r="J146" s="2">
        <v>696.04444444444448</v>
      </c>
    </row>
    <row r="147" spans="1:10" x14ac:dyDescent="0.2">
      <c r="A147" s="5" t="s">
        <v>296</v>
      </c>
      <c r="B147" s="5" t="s">
        <v>297</v>
      </c>
      <c r="C147" s="1">
        <v>1169</v>
      </c>
      <c r="D147" s="2">
        <v>1126.6295979469633</v>
      </c>
      <c r="E147" s="1">
        <v>1075</v>
      </c>
      <c r="F147" s="2">
        <v>1303.3395348837209</v>
      </c>
      <c r="G147" s="1">
        <v>1008</v>
      </c>
      <c r="H147" s="2">
        <v>1354.484126984127</v>
      </c>
      <c r="I147" s="1">
        <v>927</v>
      </c>
      <c r="J147" s="2">
        <v>1381.7259978425029</v>
      </c>
    </row>
    <row r="148" spans="1:10" x14ac:dyDescent="0.2">
      <c r="A148" s="5" t="s">
        <v>298</v>
      </c>
      <c r="B148" s="5" t="s">
        <v>299</v>
      </c>
      <c r="C148" s="1">
        <v>585</v>
      </c>
      <c r="D148" s="2">
        <v>1443.0769230769231</v>
      </c>
      <c r="E148" s="1">
        <v>570</v>
      </c>
      <c r="F148" s="2">
        <v>1804.6842105263158</v>
      </c>
      <c r="G148" s="1">
        <v>513</v>
      </c>
      <c r="H148" s="2">
        <v>1849.6101364522417</v>
      </c>
      <c r="I148" s="1">
        <v>518</v>
      </c>
      <c r="J148" s="2">
        <v>1996.949806949807</v>
      </c>
    </row>
    <row r="149" spans="1:10" x14ac:dyDescent="0.2">
      <c r="A149" s="5" t="s">
        <v>300</v>
      </c>
      <c r="B149" s="5" t="s">
        <v>301</v>
      </c>
      <c r="C149" s="1">
        <v>195</v>
      </c>
      <c r="D149" s="2">
        <v>2114.102564102564</v>
      </c>
      <c r="E149" s="1">
        <v>224</v>
      </c>
      <c r="F149" s="2">
        <v>2275.1785714285716</v>
      </c>
      <c r="G149" s="1">
        <v>242</v>
      </c>
      <c r="H149" s="2">
        <v>2858.7190082644629</v>
      </c>
      <c r="I149" s="1">
        <v>230</v>
      </c>
      <c r="J149" s="2">
        <v>3028</v>
      </c>
    </row>
    <row r="150" spans="1:10" x14ac:dyDescent="0.2">
      <c r="A150" s="5" t="s">
        <v>302</v>
      </c>
      <c r="B150" s="5" t="s">
        <v>303</v>
      </c>
      <c r="C150" s="1">
        <v>127</v>
      </c>
      <c r="D150" s="2">
        <v>3472.4409448818897</v>
      </c>
      <c r="E150" s="1">
        <v>133</v>
      </c>
      <c r="F150" s="2">
        <v>4031.9548872180453</v>
      </c>
      <c r="G150" s="1">
        <v>123</v>
      </c>
      <c r="H150" s="2">
        <v>4032.5203252032516</v>
      </c>
      <c r="I150" s="1">
        <v>112</v>
      </c>
      <c r="J150" s="2">
        <v>3317.8571428571431</v>
      </c>
    </row>
    <row r="151" spans="1:10" x14ac:dyDescent="0.2">
      <c r="A151" s="5" t="s">
        <v>304</v>
      </c>
      <c r="B151" s="5" t="s">
        <v>305</v>
      </c>
      <c r="C151" s="1">
        <v>43</v>
      </c>
      <c r="D151" s="2">
        <v>966.51162790697674</v>
      </c>
      <c r="E151" s="1">
        <v>35</v>
      </c>
      <c r="F151" s="2">
        <v>1115.1428571428571</v>
      </c>
      <c r="G151" s="1">
        <v>33</v>
      </c>
      <c r="H151" s="2">
        <v>1288.7878787878788</v>
      </c>
      <c r="I151" s="1">
        <v>35</v>
      </c>
      <c r="J151" s="2">
        <v>1737.1428571428573</v>
      </c>
    </row>
    <row r="152" spans="1:10" x14ac:dyDescent="0.2">
      <c r="A152" s="5" t="s">
        <v>306</v>
      </c>
      <c r="B152" s="5" t="s">
        <v>307</v>
      </c>
      <c r="C152" s="1">
        <v>1213</v>
      </c>
      <c r="D152" s="2">
        <v>661.17889530090679</v>
      </c>
      <c r="E152" s="1">
        <v>1190</v>
      </c>
      <c r="F152" s="2">
        <v>699.79831932773106</v>
      </c>
      <c r="G152" s="1">
        <v>1167</v>
      </c>
      <c r="H152" s="2">
        <v>776.60668380462732</v>
      </c>
      <c r="I152" s="1">
        <v>1138</v>
      </c>
      <c r="J152" s="2">
        <v>858.22495606326891</v>
      </c>
    </row>
    <row r="153" spans="1:10" x14ac:dyDescent="0.2">
      <c r="A153" s="5" t="s">
        <v>308</v>
      </c>
      <c r="B153" s="5" t="s">
        <v>309</v>
      </c>
      <c r="C153" s="1">
        <v>1455</v>
      </c>
      <c r="D153" s="2">
        <v>566.87285223367701</v>
      </c>
      <c r="E153" s="1">
        <v>1439</v>
      </c>
      <c r="F153" s="2">
        <v>612.20291869353719</v>
      </c>
      <c r="G153" s="1">
        <v>1460</v>
      </c>
      <c r="H153" s="2">
        <v>660.78767123287673</v>
      </c>
      <c r="I153" s="1">
        <v>1422</v>
      </c>
      <c r="J153" s="2">
        <v>739.44444444444446</v>
      </c>
    </row>
    <row r="154" spans="1:10" x14ac:dyDescent="0.2">
      <c r="A154" s="5" t="s">
        <v>310</v>
      </c>
      <c r="B154" s="5" t="s">
        <v>311</v>
      </c>
      <c r="C154" s="1">
        <v>980</v>
      </c>
      <c r="D154" s="2">
        <v>811.59183673469397</v>
      </c>
      <c r="E154" s="1">
        <v>952</v>
      </c>
      <c r="F154" s="2">
        <v>823.16176470588232</v>
      </c>
      <c r="G154" s="1">
        <v>945</v>
      </c>
      <c r="H154" s="2">
        <v>875.42857142857144</v>
      </c>
      <c r="I154" s="1">
        <v>923</v>
      </c>
      <c r="J154" s="2">
        <v>913.47778981581791</v>
      </c>
    </row>
    <row r="155" spans="1:10" x14ac:dyDescent="0.2">
      <c r="A155" s="5" t="s">
        <v>312</v>
      </c>
      <c r="B155" s="5" t="s">
        <v>313</v>
      </c>
      <c r="C155" s="1">
        <v>744</v>
      </c>
      <c r="D155" s="2">
        <v>452.06989247311827</v>
      </c>
      <c r="E155" s="1">
        <v>745</v>
      </c>
      <c r="F155" s="2">
        <v>491.1006711409396</v>
      </c>
      <c r="G155" s="1">
        <v>764</v>
      </c>
      <c r="H155" s="2">
        <v>530.52356020942409</v>
      </c>
      <c r="I155" s="1">
        <v>751</v>
      </c>
      <c r="J155" s="2">
        <v>651.75765645805598</v>
      </c>
    </row>
    <row r="156" spans="1:10" x14ac:dyDescent="0.2">
      <c r="A156" s="5" t="s">
        <v>314</v>
      </c>
      <c r="B156" s="5" t="s">
        <v>315</v>
      </c>
      <c r="C156" s="1">
        <v>757</v>
      </c>
      <c r="D156" s="2">
        <v>405.35006605019817</v>
      </c>
      <c r="E156" s="1">
        <v>766</v>
      </c>
      <c r="F156" s="2">
        <v>430.03916449086165</v>
      </c>
      <c r="G156" s="1">
        <v>789</v>
      </c>
      <c r="H156" s="2">
        <v>480.65906210392905</v>
      </c>
      <c r="I156" s="1">
        <v>818</v>
      </c>
      <c r="J156" s="2">
        <v>524.80440097799521</v>
      </c>
    </row>
    <row r="157" spans="1:10" x14ac:dyDescent="0.2">
      <c r="A157" s="5" t="s">
        <v>316</v>
      </c>
      <c r="B157" s="5" t="s">
        <v>317</v>
      </c>
      <c r="C157" s="1">
        <v>19</v>
      </c>
      <c r="D157" s="2">
        <v>451.0526315789474</v>
      </c>
      <c r="E157" s="1">
        <v>18</v>
      </c>
      <c r="F157" s="2">
        <v>376.66666666666669</v>
      </c>
      <c r="G157" s="1">
        <v>18</v>
      </c>
      <c r="H157" s="2">
        <v>393.33333333333331</v>
      </c>
      <c r="I157" s="1">
        <v>19</v>
      </c>
      <c r="J157" s="2">
        <v>424.73684210526318</v>
      </c>
    </row>
    <row r="158" spans="1:10" x14ac:dyDescent="0.2">
      <c r="A158" s="5" t="s">
        <v>318</v>
      </c>
      <c r="B158" s="5" t="s">
        <v>319</v>
      </c>
      <c r="C158" s="1">
        <v>39</v>
      </c>
      <c r="D158" s="2">
        <v>331.53846153846149</v>
      </c>
      <c r="E158" s="1">
        <v>41</v>
      </c>
      <c r="F158" s="2">
        <v>346.09756097560972</v>
      </c>
      <c r="G158" s="1">
        <v>44</v>
      </c>
      <c r="H158" s="2">
        <v>382.0454545454545</v>
      </c>
      <c r="I158" s="1">
        <v>52</v>
      </c>
      <c r="J158" s="2">
        <v>452.5</v>
      </c>
    </row>
    <row r="159" spans="1:10" x14ac:dyDescent="0.2">
      <c r="A159" s="5" t="s">
        <v>320</v>
      </c>
      <c r="B159" s="5" t="s">
        <v>321</v>
      </c>
      <c r="C159" s="1">
        <v>208</v>
      </c>
      <c r="D159" s="2">
        <v>443.60576923076923</v>
      </c>
      <c r="E159" s="1">
        <v>209</v>
      </c>
      <c r="F159" s="2">
        <v>471.24401913875602</v>
      </c>
      <c r="G159" s="1">
        <v>216</v>
      </c>
      <c r="H159" s="2">
        <v>501.62037037037044</v>
      </c>
      <c r="I159" s="1">
        <v>227</v>
      </c>
      <c r="J159" s="2">
        <v>567.84140969163002</v>
      </c>
    </row>
    <row r="160" spans="1:10" x14ac:dyDescent="0.2">
      <c r="A160" s="5" t="s">
        <v>322</v>
      </c>
      <c r="B160" s="5" t="s">
        <v>323</v>
      </c>
      <c r="C160" s="1">
        <v>1790</v>
      </c>
      <c r="D160" s="2">
        <v>405.22346368715085</v>
      </c>
      <c r="E160" s="1">
        <v>1893</v>
      </c>
      <c r="F160" s="2">
        <v>437.08399366085575</v>
      </c>
      <c r="G160" s="1">
        <v>1901</v>
      </c>
      <c r="H160" s="2">
        <v>496.43345607574963</v>
      </c>
      <c r="I160" s="1">
        <v>1983</v>
      </c>
      <c r="J160" s="2">
        <v>547.46343923348468</v>
      </c>
    </row>
    <row r="161" spans="1:10" x14ac:dyDescent="0.2">
      <c r="A161" s="5" t="s">
        <v>324</v>
      </c>
      <c r="B161" s="5" t="s">
        <v>325</v>
      </c>
      <c r="C161" s="1">
        <v>1338</v>
      </c>
      <c r="D161" s="2">
        <v>413.72944693572498</v>
      </c>
      <c r="E161" s="1">
        <v>1381</v>
      </c>
      <c r="F161" s="2">
        <v>448.46488052136135</v>
      </c>
      <c r="G161" s="1">
        <v>1421</v>
      </c>
      <c r="H161" s="2">
        <v>485.08092892329353</v>
      </c>
      <c r="I161" s="1">
        <v>1442</v>
      </c>
      <c r="J161" s="2">
        <v>521.62968099861303</v>
      </c>
    </row>
    <row r="162" spans="1:10" x14ac:dyDescent="0.2">
      <c r="A162" s="5" t="s">
        <v>326</v>
      </c>
      <c r="B162" s="5" t="s">
        <v>327</v>
      </c>
      <c r="C162" s="1">
        <v>269</v>
      </c>
      <c r="D162" s="2">
        <v>401.04089219330854</v>
      </c>
      <c r="E162" s="1">
        <v>270</v>
      </c>
      <c r="F162" s="2">
        <v>413.74074074074082</v>
      </c>
      <c r="G162" s="1">
        <v>291</v>
      </c>
      <c r="H162" s="2">
        <v>461.23711340206188</v>
      </c>
      <c r="I162" s="1">
        <v>322</v>
      </c>
      <c r="J162" s="2">
        <v>477.2981366459627</v>
      </c>
    </row>
    <row r="163" spans="1:10" x14ac:dyDescent="0.2">
      <c r="A163" s="5" t="s">
        <v>328</v>
      </c>
      <c r="B163" s="5" t="s">
        <v>329</v>
      </c>
      <c r="C163" s="1">
        <v>263</v>
      </c>
      <c r="D163" s="2">
        <v>405.361216730038</v>
      </c>
      <c r="E163" s="1">
        <v>273</v>
      </c>
      <c r="F163" s="2">
        <v>440.25641025641028</v>
      </c>
      <c r="G163" s="1">
        <v>267</v>
      </c>
      <c r="H163" s="2">
        <v>503.25842696629218</v>
      </c>
      <c r="I163" s="1">
        <v>254</v>
      </c>
      <c r="J163" s="2">
        <v>619.72440944881885</v>
      </c>
    </row>
    <row r="164" spans="1:10" x14ac:dyDescent="0.2">
      <c r="A164" s="5" t="s">
        <v>330</v>
      </c>
      <c r="B164" s="5" t="s">
        <v>331</v>
      </c>
      <c r="C164" s="1">
        <v>965</v>
      </c>
      <c r="D164" s="2">
        <v>428.83937823834196</v>
      </c>
      <c r="E164" s="1">
        <v>994</v>
      </c>
      <c r="F164" s="2">
        <v>434.49698189134807</v>
      </c>
      <c r="G164" s="1">
        <v>979</v>
      </c>
      <c r="H164" s="2">
        <v>480.60265577119509</v>
      </c>
      <c r="I164" s="1">
        <v>981</v>
      </c>
      <c r="J164" s="2">
        <v>533.70030581039759</v>
      </c>
    </row>
    <row r="165" spans="1:10" x14ac:dyDescent="0.2">
      <c r="A165" s="5" t="s">
        <v>332</v>
      </c>
      <c r="B165" s="5" t="s">
        <v>333</v>
      </c>
      <c r="C165" s="1">
        <v>68</v>
      </c>
      <c r="D165" s="2">
        <v>352.7941176470589</v>
      </c>
      <c r="E165" s="1">
        <v>69</v>
      </c>
      <c r="F165" s="2">
        <v>414.78260869565219</v>
      </c>
      <c r="G165" s="1">
        <v>69</v>
      </c>
      <c r="H165" s="2">
        <v>526.81159420289862</v>
      </c>
      <c r="I165" s="1">
        <v>75</v>
      </c>
      <c r="J165" s="2">
        <v>498.66666666666663</v>
      </c>
    </row>
    <row r="166" spans="1:10" x14ac:dyDescent="0.2">
      <c r="A166" s="5" t="s">
        <v>334</v>
      </c>
      <c r="B166" s="5" t="s">
        <v>335</v>
      </c>
      <c r="C166" s="1">
        <v>543</v>
      </c>
      <c r="D166" s="2">
        <v>599.39226519337024</v>
      </c>
      <c r="E166" s="1">
        <v>506</v>
      </c>
      <c r="F166" s="2">
        <v>537.23320158102774</v>
      </c>
      <c r="G166" s="1">
        <v>444</v>
      </c>
      <c r="H166" s="2">
        <v>634.03153153153141</v>
      </c>
      <c r="I166" s="1">
        <v>431</v>
      </c>
      <c r="J166" s="2">
        <v>699.86078886310895</v>
      </c>
    </row>
    <row r="167" spans="1:10" x14ac:dyDescent="0.2">
      <c r="A167" s="5" t="s">
        <v>336</v>
      </c>
      <c r="B167" s="5" t="s">
        <v>337</v>
      </c>
      <c r="C167" s="1">
        <v>667</v>
      </c>
      <c r="D167" s="2">
        <v>772.11394302848578</v>
      </c>
      <c r="E167" s="1">
        <v>674</v>
      </c>
      <c r="F167" s="2">
        <v>894.79228486646889</v>
      </c>
      <c r="G167" s="1">
        <v>660</v>
      </c>
      <c r="H167" s="2">
        <v>959.40909090909099</v>
      </c>
      <c r="I167" s="1">
        <v>653</v>
      </c>
      <c r="J167" s="2">
        <v>989.2802450229708</v>
      </c>
    </row>
    <row r="168" spans="1:10" x14ac:dyDescent="0.2">
      <c r="A168" s="5" t="s">
        <v>338</v>
      </c>
      <c r="B168" s="5" t="s">
        <v>339</v>
      </c>
      <c r="C168" s="1">
        <v>524</v>
      </c>
      <c r="D168" s="2">
        <v>368.53053435114509</v>
      </c>
      <c r="E168" s="1">
        <v>558</v>
      </c>
      <c r="F168" s="2">
        <v>418.83512544802869</v>
      </c>
      <c r="G168" s="1">
        <v>563</v>
      </c>
      <c r="H168" s="2">
        <v>448.38365896980457</v>
      </c>
      <c r="I168" s="1">
        <v>602</v>
      </c>
      <c r="J168" s="2">
        <v>486.36212624584726</v>
      </c>
    </row>
    <row r="169" spans="1:10" x14ac:dyDescent="0.2">
      <c r="A169" s="5" t="s">
        <v>340</v>
      </c>
      <c r="B169" s="5" t="s">
        <v>341</v>
      </c>
      <c r="C169" s="1">
        <v>73</v>
      </c>
      <c r="D169" s="2">
        <v>1204.1095890410959</v>
      </c>
      <c r="E169" s="1">
        <v>77</v>
      </c>
      <c r="F169" s="2">
        <v>1330.5194805194806</v>
      </c>
      <c r="G169" s="1">
        <v>74</v>
      </c>
      <c r="H169" s="2">
        <v>1474.5945945945946</v>
      </c>
      <c r="I169" s="1">
        <v>77</v>
      </c>
      <c r="J169" s="2">
        <v>1679.4805194805194</v>
      </c>
    </row>
    <row r="170" spans="1:10" x14ac:dyDescent="0.2">
      <c r="A170" s="5" t="s">
        <v>342</v>
      </c>
      <c r="B170" s="5" t="s">
        <v>343</v>
      </c>
      <c r="C170" s="1">
        <v>1217</v>
      </c>
      <c r="D170" s="2">
        <v>894.25636811832362</v>
      </c>
      <c r="E170" s="1">
        <v>1175</v>
      </c>
      <c r="F170" s="2">
        <v>898.00000000000011</v>
      </c>
      <c r="G170" s="1">
        <v>1116</v>
      </c>
      <c r="H170" s="2">
        <v>1027.4283154121865</v>
      </c>
      <c r="I170" s="1">
        <v>1125</v>
      </c>
      <c r="J170" s="2">
        <v>1102.9777777777779</v>
      </c>
    </row>
    <row r="171" spans="1:10" x14ac:dyDescent="0.2">
      <c r="A171" s="5" t="s">
        <v>344</v>
      </c>
      <c r="B171" s="5" t="s">
        <v>345</v>
      </c>
      <c r="C171" s="1">
        <v>2992</v>
      </c>
      <c r="D171" s="2">
        <v>603.89705882352951</v>
      </c>
      <c r="E171" s="1">
        <v>3243</v>
      </c>
      <c r="F171" s="2">
        <v>654.21831637372804</v>
      </c>
      <c r="G171" s="1">
        <v>3551</v>
      </c>
      <c r="H171" s="2">
        <v>719.90988453956641</v>
      </c>
      <c r="I171" s="1">
        <v>3673</v>
      </c>
      <c r="J171" s="2">
        <v>802.62455758235774</v>
      </c>
    </row>
    <row r="172" spans="1:10" x14ac:dyDescent="0.2">
      <c r="A172" s="5" t="s">
        <v>346</v>
      </c>
      <c r="B172" s="5" t="s">
        <v>347</v>
      </c>
      <c r="C172" s="1">
        <v>76</v>
      </c>
      <c r="D172" s="2">
        <v>801.71052631578948</v>
      </c>
      <c r="E172" s="1">
        <v>104</v>
      </c>
      <c r="F172" s="2">
        <v>679.13461538461536</v>
      </c>
      <c r="G172" s="1">
        <v>125</v>
      </c>
      <c r="H172" s="2">
        <v>739.68000000000006</v>
      </c>
      <c r="I172" s="1">
        <v>135</v>
      </c>
      <c r="J172" s="2">
        <v>882.07407407407402</v>
      </c>
    </row>
    <row r="173" spans="1:10" x14ac:dyDescent="0.2">
      <c r="A173" s="5" t="s">
        <v>348</v>
      </c>
      <c r="B173" s="5" t="s">
        <v>349</v>
      </c>
      <c r="C173" s="1">
        <v>670</v>
      </c>
      <c r="D173" s="2">
        <v>878.77611940298505</v>
      </c>
      <c r="E173" s="1">
        <v>699</v>
      </c>
      <c r="F173" s="2">
        <v>909.928469241774</v>
      </c>
      <c r="G173" s="1">
        <v>723</v>
      </c>
      <c r="H173" s="2">
        <v>981.21715076071916</v>
      </c>
      <c r="I173" s="1">
        <v>714</v>
      </c>
      <c r="J173" s="2">
        <v>1059.0616246498598</v>
      </c>
    </row>
    <row r="174" spans="1:10" x14ac:dyDescent="0.2">
      <c r="A174" s="5" t="s">
        <v>350</v>
      </c>
      <c r="B174" s="5" t="s">
        <v>351</v>
      </c>
      <c r="C174" s="1">
        <v>2574</v>
      </c>
      <c r="D174" s="2">
        <v>702.88655788655785</v>
      </c>
      <c r="E174" s="1">
        <v>2561</v>
      </c>
      <c r="F174" s="2">
        <v>711.76884029675909</v>
      </c>
      <c r="G174" s="1">
        <v>2458</v>
      </c>
      <c r="H174" s="2">
        <v>844.50772986167624</v>
      </c>
      <c r="I174" s="1">
        <v>2348</v>
      </c>
      <c r="J174" s="2">
        <v>1005.74531516184</v>
      </c>
    </row>
    <row r="175" spans="1:10" x14ac:dyDescent="0.2">
      <c r="A175" s="5" t="s">
        <v>352</v>
      </c>
      <c r="B175" s="5" t="s">
        <v>353</v>
      </c>
      <c r="C175" s="1">
        <v>8656</v>
      </c>
      <c r="D175" s="2">
        <v>617.35674676524957</v>
      </c>
      <c r="E175" s="1">
        <v>8698</v>
      </c>
      <c r="F175" s="2">
        <v>653.7778799724075</v>
      </c>
      <c r="G175" s="1">
        <v>8753</v>
      </c>
      <c r="H175" s="2">
        <v>730.42042728207468</v>
      </c>
      <c r="I175" s="1">
        <v>8691</v>
      </c>
      <c r="J175" s="2">
        <v>843.77862156253593</v>
      </c>
    </row>
    <row r="176" spans="1:10" x14ac:dyDescent="0.2">
      <c r="A176" s="5" t="s">
        <v>354</v>
      </c>
      <c r="B176" s="5" t="s">
        <v>355</v>
      </c>
      <c r="C176" s="1">
        <v>3990</v>
      </c>
      <c r="D176" s="2">
        <v>674.20050125313276</v>
      </c>
      <c r="E176" s="1">
        <v>3952</v>
      </c>
      <c r="F176" s="2">
        <v>700.94635627530363</v>
      </c>
      <c r="G176" s="1">
        <v>3877</v>
      </c>
      <c r="H176" s="2">
        <v>808.66907402630909</v>
      </c>
      <c r="I176" s="1">
        <v>3823</v>
      </c>
      <c r="J176" s="2">
        <v>934.95160868427945</v>
      </c>
    </row>
    <row r="177" spans="1:10" x14ac:dyDescent="0.2">
      <c r="A177" s="5" t="s">
        <v>356</v>
      </c>
      <c r="B177" s="5" t="s">
        <v>357</v>
      </c>
      <c r="C177" s="1">
        <v>149</v>
      </c>
      <c r="D177" s="2">
        <v>641.87919463087246</v>
      </c>
      <c r="E177" s="1">
        <v>125</v>
      </c>
      <c r="F177" s="2">
        <v>601.76</v>
      </c>
      <c r="G177" s="1">
        <v>125</v>
      </c>
      <c r="H177" s="2">
        <v>608.08000000000004</v>
      </c>
      <c r="I177" s="1">
        <v>127</v>
      </c>
      <c r="J177" s="2">
        <v>694.09448818897647</v>
      </c>
    </row>
    <row r="178" spans="1:10" x14ac:dyDescent="0.2">
      <c r="A178" s="5" t="s">
        <v>358</v>
      </c>
      <c r="B178" s="5" t="s">
        <v>359</v>
      </c>
      <c r="C178" s="1">
        <v>1614</v>
      </c>
      <c r="D178" s="2">
        <v>754.58488228004956</v>
      </c>
      <c r="E178" s="1">
        <v>1605</v>
      </c>
      <c r="F178" s="2">
        <v>811.98130841121497</v>
      </c>
      <c r="G178" s="1">
        <v>1630</v>
      </c>
      <c r="H178" s="2">
        <v>884.74846625766884</v>
      </c>
      <c r="I178" s="1">
        <v>1678</v>
      </c>
      <c r="J178" s="2">
        <v>973.74851013110856</v>
      </c>
    </row>
    <row r="179" spans="1:10" x14ac:dyDescent="0.2">
      <c r="A179" s="5" t="s">
        <v>360</v>
      </c>
      <c r="B179" s="5" t="s">
        <v>361</v>
      </c>
      <c r="C179" s="1">
        <v>182</v>
      </c>
      <c r="D179" s="2">
        <v>483.5164835164835</v>
      </c>
      <c r="E179" s="1">
        <v>180</v>
      </c>
      <c r="F179" s="2">
        <v>462.22222222222223</v>
      </c>
      <c r="G179" s="1">
        <v>189</v>
      </c>
      <c r="H179" s="2">
        <v>574.07407407407402</v>
      </c>
      <c r="I179" s="1">
        <v>225</v>
      </c>
      <c r="J179" s="2">
        <v>638.71111111111111</v>
      </c>
    </row>
    <row r="180" spans="1:10" x14ac:dyDescent="0.2">
      <c r="A180" s="5" t="s">
        <v>362</v>
      </c>
      <c r="B180" s="5" t="s">
        <v>363</v>
      </c>
      <c r="C180" s="1">
        <v>62</v>
      </c>
      <c r="D180" s="2">
        <v>636.77419354838719</v>
      </c>
      <c r="E180" s="1">
        <v>58</v>
      </c>
      <c r="F180" s="2">
        <v>645.68965517241384</v>
      </c>
      <c r="G180" s="1">
        <v>62</v>
      </c>
      <c r="H180" s="2">
        <v>621.61290322580646</v>
      </c>
      <c r="I180" s="1">
        <v>50</v>
      </c>
      <c r="J180" s="2">
        <v>693.6</v>
      </c>
    </row>
    <row r="181" spans="1:10" x14ac:dyDescent="0.2">
      <c r="A181" s="5" t="s">
        <v>364</v>
      </c>
      <c r="B181" s="5" t="s">
        <v>365</v>
      </c>
      <c r="C181" s="1">
        <v>276</v>
      </c>
      <c r="D181" s="2">
        <v>367.60869565217399</v>
      </c>
      <c r="E181" s="1">
        <v>248</v>
      </c>
      <c r="F181" s="2">
        <v>467.49999999999994</v>
      </c>
      <c r="G181" s="1">
        <v>240</v>
      </c>
      <c r="H181" s="2">
        <v>555.375</v>
      </c>
      <c r="I181" s="1">
        <v>220</v>
      </c>
      <c r="J181" s="2">
        <v>582.68181818181824</v>
      </c>
    </row>
    <row r="182" spans="1:10" x14ac:dyDescent="0.2">
      <c r="A182" s="5" t="s">
        <v>366</v>
      </c>
      <c r="B182" s="5" t="s">
        <v>367</v>
      </c>
      <c r="C182" s="1">
        <v>2300</v>
      </c>
      <c r="D182" s="2">
        <v>527.62173913043478</v>
      </c>
      <c r="E182" s="1">
        <v>2284</v>
      </c>
      <c r="F182" s="2">
        <v>552.87653239929944</v>
      </c>
      <c r="G182" s="1">
        <v>2283</v>
      </c>
      <c r="H182" s="2">
        <v>621.91852825229955</v>
      </c>
      <c r="I182" s="1">
        <v>2251</v>
      </c>
      <c r="J182" s="2">
        <v>698.30297645490907</v>
      </c>
    </row>
    <row r="183" spans="1:10" x14ac:dyDescent="0.2">
      <c r="A183" s="5" t="s">
        <v>368</v>
      </c>
      <c r="B183" s="5" t="s">
        <v>369</v>
      </c>
      <c r="C183" s="1">
        <v>1264</v>
      </c>
      <c r="D183" s="2">
        <v>543.37816455696213</v>
      </c>
      <c r="E183" s="1">
        <v>1257</v>
      </c>
      <c r="F183" s="2">
        <v>570.70803500397767</v>
      </c>
      <c r="G183" s="1">
        <v>1235</v>
      </c>
      <c r="H183" s="2">
        <v>588.97975708502031</v>
      </c>
      <c r="I183" s="1">
        <v>1283</v>
      </c>
      <c r="J183" s="2">
        <v>693.47622759158219</v>
      </c>
    </row>
    <row r="184" spans="1:10" x14ac:dyDescent="0.2">
      <c r="A184" s="5" t="s">
        <v>370</v>
      </c>
      <c r="B184" s="5" t="s">
        <v>371</v>
      </c>
      <c r="C184" s="1">
        <v>829</v>
      </c>
      <c r="D184" s="2">
        <v>550.91676718938493</v>
      </c>
      <c r="E184" s="1">
        <v>815</v>
      </c>
      <c r="F184" s="2">
        <v>575.2638036809816</v>
      </c>
      <c r="G184" s="1">
        <v>821</v>
      </c>
      <c r="H184" s="2">
        <v>602.89890377588301</v>
      </c>
      <c r="I184" s="1">
        <v>739</v>
      </c>
      <c r="J184" s="2">
        <v>668.37618403247632</v>
      </c>
    </row>
    <row r="185" spans="1:10" x14ac:dyDescent="0.2">
      <c r="A185" s="5" t="s">
        <v>372</v>
      </c>
      <c r="B185" s="5" t="s">
        <v>373</v>
      </c>
      <c r="C185" s="1">
        <v>12239</v>
      </c>
      <c r="D185" s="2">
        <v>495.24144129422342</v>
      </c>
      <c r="E185" s="1">
        <v>12499</v>
      </c>
      <c r="F185" s="2">
        <v>529.78238259060731</v>
      </c>
      <c r="G185" s="1">
        <v>12699</v>
      </c>
      <c r="H185" s="2">
        <v>587.71320576423341</v>
      </c>
      <c r="I185" s="1">
        <v>12689</v>
      </c>
      <c r="J185" s="2">
        <v>658.15351879580726</v>
      </c>
    </row>
    <row r="186" spans="1:10" x14ac:dyDescent="0.2">
      <c r="A186" s="5" t="s">
        <v>374</v>
      </c>
      <c r="B186" s="5" t="s">
        <v>375</v>
      </c>
      <c r="C186" s="1">
        <v>330</v>
      </c>
      <c r="D186" s="2">
        <v>446.72727272727275</v>
      </c>
      <c r="E186" s="1">
        <v>315</v>
      </c>
      <c r="F186" s="2">
        <v>449.90476190476193</v>
      </c>
      <c r="G186" s="1">
        <v>362</v>
      </c>
      <c r="H186" s="2">
        <v>513.48066298342542</v>
      </c>
      <c r="I186" s="1">
        <v>352</v>
      </c>
      <c r="J186" s="2">
        <v>618.125</v>
      </c>
    </row>
    <row r="187" spans="1:10" x14ac:dyDescent="0.2">
      <c r="A187" s="5" t="s">
        <v>376</v>
      </c>
      <c r="B187" s="5" t="s">
        <v>377</v>
      </c>
      <c r="C187" s="1">
        <v>1232</v>
      </c>
      <c r="D187" s="2">
        <v>751.35551948051943</v>
      </c>
      <c r="E187" s="1">
        <v>1201</v>
      </c>
      <c r="F187" s="2">
        <v>755.03746877602009</v>
      </c>
      <c r="G187" s="1">
        <v>1157</v>
      </c>
      <c r="H187" s="2">
        <v>765.54019014693176</v>
      </c>
      <c r="I187" s="1">
        <v>1081</v>
      </c>
      <c r="J187" s="2">
        <v>840.37002775208146</v>
      </c>
    </row>
    <row r="188" spans="1:10" x14ac:dyDescent="0.2">
      <c r="A188" s="5" t="s">
        <v>378</v>
      </c>
      <c r="B188" s="5" t="s">
        <v>379</v>
      </c>
      <c r="C188" s="1">
        <v>98</v>
      </c>
      <c r="D188" s="2">
        <v>592.14285714285722</v>
      </c>
      <c r="E188" s="1">
        <v>87</v>
      </c>
      <c r="F188" s="2">
        <v>572.64367816091954</v>
      </c>
      <c r="G188" s="1">
        <v>87</v>
      </c>
      <c r="H188" s="2">
        <v>623.90804597701151</v>
      </c>
      <c r="I188" s="1">
        <v>78</v>
      </c>
      <c r="J188" s="2">
        <v>673.07692307692309</v>
      </c>
    </row>
    <row r="189" spans="1:10" x14ac:dyDescent="0.2">
      <c r="A189" s="5" t="s">
        <v>380</v>
      </c>
      <c r="B189" s="5" t="s">
        <v>381</v>
      </c>
      <c r="C189" s="1">
        <v>851</v>
      </c>
      <c r="D189" s="2">
        <v>645.44065804935371</v>
      </c>
      <c r="E189" s="1">
        <v>833</v>
      </c>
      <c r="F189" s="2">
        <v>698.90756302521015</v>
      </c>
      <c r="G189" s="1">
        <v>824</v>
      </c>
      <c r="H189" s="2">
        <v>714.247572815534</v>
      </c>
      <c r="I189" s="1">
        <v>792</v>
      </c>
      <c r="J189" s="2">
        <v>765.63131313131316</v>
      </c>
    </row>
    <row r="190" spans="1:10" x14ac:dyDescent="0.2">
      <c r="A190" s="5" t="s">
        <v>382</v>
      </c>
      <c r="B190" s="5" t="s">
        <v>383</v>
      </c>
      <c r="C190" s="1">
        <v>384</v>
      </c>
      <c r="D190" s="2">
        <v>655.88541666666663</v>
      </c>
      <c r="E190" s="1">
        <v>381</v>
      </c>
      <c r="F190" s="2">
        <v>648.71391076115481</v>
      </c>
      <c r="G190" s="1">
        <v>358</v>
      </c>
      <c r="H190" s="2">
        <v>709.38547486033519</v>
      </c>
      <c r="I190" s="1">
        <v>351</v>
      </c>
      <c r="J190" s="2">
        <v>764.98575498575497</v>
      </c>
    </row>
    <row r="191" spans="1:10" x14ac:dyDescent="0.2">
      <c r="A191" s="5" t="s">
        <v>384</v>
      </c>
      <c r="B191" s="5" t="s">
        <v>385</v>
      </c>
      <c r="C191" s="1">
        <v>15</v>
      </c>
      <c r="D191" s="2">
        <v>506</v>
      </c>
      <c r="E191" s="1">
        <v>12</v>
      </c>
      <c r="F191" s="2">
        <v>506.66666666666669</v>
      </c>
      <c r="G191" s="1">
        <v>11</v>
      </c>
      <c r="H191" s="2">
        <v>521.81818181818187</v>
      </c>
      <c r="I191" s="1">
        <v>12</v>
      </c>
      <c r="J191" s="2">
        <v>600.83333333333337</v>
      </c>
    </row>
    <row r="192" spans="1:10" x14ac:dyDescent="0.2">
      <c r="A192" s="5" t="s">
        <v>386</v>
      </c>
      <c r="B192" s="5" t="s">
        <v>387</v>
      </c>
      <c r="C192" s="1">
        <v>1173</v>
      </c>
      <c r="D192" s="2">
        <v>641.466325660699</v>
      </c>
      <c r="E192" s="1">
        <v>1228</v>
      </c>
      <c r="F192" s="2">
        <v>673.14332247557002</v>
      </c>
      <c r="G192" s="1">
        <v>1124</v>
      </c>
      <c r="H192" s="2">
        <v>793.8345195729537</v>
      </c>
      <c r="I192" s="1">
        <v>1101</v>
      </c>
      <c r="J192" s="2">
        <v>773.0426884650318</v>
      </c>
    </row>
    <row r="193" spans="1:10" x14ac:dyDescent="0.2">
      <c r="A193" s="5" t="s">
        <v>388</v>
      </c>
      <c r="B193" s="5" t="s">
        <v>389</v>
      </c>
      <c r="C193" s="1">
        <v>1664</v>
      </c>
      <c r="D193" s="2">
        <v>609.86778846153845</v>
      </c>
      <c r="E193" s="1">
        <v>1741</v>
      </c>
      <c r="F193" s="2">
        <v>637.99540493968982</v>
      </c>
      <c r="G193" s="1">
        <v>1730</v>
      </c>
      <c r="H193" s="2">
        <v>681.86127167630059</v>
      </c>
      <c r="I193" s="1">
        <v>1711</v>
      </c>
      <c r="J193" s="2">
        <v>764.28988895382827</v>
      </c>
    </row>
    <row r="194" spans="1:10" x14ac:dyDescent="0.2">
      <c r="A194" s="5" t="s">
        <v>390</v>
      </c>
      <c r="B194" s="5" t="s">
        <v>391</v>
      </c>
      <c r="C194" s="1">
        <v>4221</v>
      </c>
      <c r="D194" s="2">
        <v>352.54442075337596</v>
      </c>
      <c r="E194" s="1">
        <v>4406</v>
      </c>
      <c r="F194" s="2">
        <v>402.22650930549253</v>
      </c>
      <c r="G194" s="1">
        <v>4606</v>
      </c>
      <c r="H194" s="2">
        <v>407.54884932696484</v>
      </c>
      <c r="I194" s="1">
        <v>4821</v>
      </c>
      <c r="J194" s="2">
        <v>453.10516490354701</v>
      </c>
    </row>
    <row r="195" spans="1:10" x14ac:dyDescent="0.2">
      <c r="A195" s="5" t="s">
        <v>392</v>
      </c>
      <c r="B195" s="5" t="s">
        <v>393</v>
      </c>
      <c r="C195" s="1">
        <v>113</v>
      </c>
      <c r="D195" s="2">
        <v>239.46902654867259</v>
      </c>
      <c r="E195" s="1">
        <v>112</v>
      </c>
      <c r="F195" s="2">
        <v>262.32142857142856</v>
      </c>
      <c r="G195" s="1">
        <v>116</v>
      </c>
      <c r="H195" s="2">
        <v>269.13793103448279</v>
      </c>
      <c r="I195" s="1">
        <v>106</v>
      </c>
      <c r="J195" s="2">
        <v>341.41509433962261</v>
      </c>
    </row>
    <row r="196" spans="1:10" x14ac:dyDescent="0.2">
      <c r="A196" s="5" t="s">
        <v>394</v>
      </c>
      <c r="B196" s="5" t="s">
        <v>395</v>
      </c>
      <c r="C196" s="1">
        <v>25</v>
      </c>
      <c r="D196" s="2">
        <v>429.20000000000005</v>
      </c>
      <c r="E196" s="1">
        <v>29</v>
      </c>
      <c r="F196" s="2">
        <v>330.34482758620692</v>
      </c>
      <c r="G196" s="1">
        <v>34</v>
      </c>
      <c r="H196" s="2">
        <v>738.52941176470586</v>
      </c>
      <c r="I196" s="1">
        <v>25</v>
      </c>
      <c r="J196" s="2">
        <v>1049.6000000000001</v>
      </c>
    </row>
    <row r="197" spans="1:10" x14ac:dyDescent="0.2">
      <c r="A197" s="5" t="s">
        <v>396</v>
      </c>
      <c r="B197" s="5" t="s">
        <v>397</v>
      </c>
      <c r="C197" s="1">
        <v>1969</v>
      </c>
      <c r="D197" s="2">
        <v>515.99288979177254</v>
      </c>
      <c r="E197" s="1">
        <v>2021</v>
      </c>
      <c r="F197" s="2">
        <v>546.98169223156856</v>
      </c>
      <c r="G197" s="1">
        <v>2062</v>
      </c>
      <c r="H197" s="2">
        <v>603.06013579049466</v>
      </c>
      <c r="I197" s="1">
        <v>1957</v>
      </c>
      <c r="J197" s="2">
        <v>651.97240674501791</v>
      </c>
    </row>
    <row r="198" spans="1:10" x14ac:dyDescent="0.2">
      <c r="A198" s="5" t="s">
        <v>398</v>
      </c>
      <c r="B198" s="5" t="s">
        <v>399</v>
      </c>
      <c r="C198" s="1">
        <v>204</v>
      </c>
      <c r="D198" s="2">
        <v>340.83333333333331</v>
      </c>
      <c r="E198" s="1">
        <v>209</v>
      </c>
      <c r="F198" s="2">
        <v>373.58851674641147</v>
      </c>
      <c r="G198" s="1">
        <v>242</v>
      </c>
      <c r="H198" s="2">
        <v>425.49586776859508</v>
      </c>
      <c r="I198" s="1">
        <v>244</v>
      </c>
      <c r="J198" s="2">
        <v>454.67213114754094</v>
      </c>
    </row>
    <row r="199" spans="1:10" x14ac:dyDescent="0.2">
      <c r="A199" s="5" t="s">
        <v>400</v>
      </c>
      <c r="B199" s="5" t="s">
        <v>401</v>
      </c>
      <c r="C199" s="1">
        <v>280</v>
      </c>
      <c r="D199" s="2">
        <v>378.57142857142856</v>
      </c>
      <c r="E199" s="1">
        <v>287</v>
      </c>
      <c r="F199" s="2">
        <v>428.36236933797909</v>
      </c>
      <c r="G199" s="1">
        <v>253</v>
      </c>
      <c r="H199" s="2">
        <v>499.802371541502</v>
      </c>
      <c r="I199" s="1">
        <v>243</v>
      </c>
      <c r="J199" s="2">
        <v>554.4855967078189</v>
      </c>
    </row>
    <row r="200" spans="1:10" x14ac:dyDescent="0.2">
      <c r="A200" s="5" t="s">
        <v>402</v>
      </c>
      <c r="B200" s="5" t="s">
        <v>403</v>
      </c>
      <c r="C200" s="1">
        <v>275</v>
      </c>
      <c r="D200" s="2">
        <v>449.85454545454553</v>
      </c>
      <c r="E200" s="1">
        <v>286</v>
      </c>
      <c r="F200" s="2">
        <v>531.85314685314688</v>
      </c>
      <c r="G200" s="1">
        <v>308</v>
      </c>
      <c r="H200" s="2">
        <v>569.41558441558436</v>
      </c>
      <c r="I200" s="1">
        <v>330</v>
      </c>
      <c r="J200" s="2">
        <v>657.5454545454545</v>
      </c>
    </row>
    <row r="201" spans="1:10" x14ac:dyDescent="0.2">
      <c r="A201" s="5" t="s">
        <v>404</v>
      </c>
      <c r="B201" s="5" t="s">
        <v>405</v>
      </c>
      <c r="C201" s="1">
        <v>81</v>
      </c>
      <c r="D201" s="2">
        <v>497.03703703703701</v>
      </c>
      <c r="E201" s="1">
        <v>81</v>
      </c>
      <c r="F201" s="2">
        <v>577.53086419753083</v>
      </c>
      <c r="G201" s="1">
        <v>90</v>
      </c>
      <c r="H201" s="2">
        <v>619.44444444444446</v>
      </c>
      <c r="I201" s="1">
        <v>81</v>
      </c>
      <c r="J201" s="2">
        <v>651.48148148148152</v>
      </c>
    </row>
    <row r="202" spans="1:10" x14ac:dyDescent="0.2">
      <c r="A202" s="5" t="s">
        <v>406</v>
      </c>
      <c r="B202" s="5" t="s">
        <v>407</v>
      </c>
      <c r="C202" s="1">
        <v>901</v>
      </c>
      <c r="D202" s="2">
        <v>452.80799112097668</v>
      </c>
      <c r="E202" s="1">
        <v>846</v>
      </c>
      <c r="F202" s="2">
        <v>497.10401891252957</v>
      </c>
      <c r="G202" s="1">
        <v>785</v>
      </c>
      <c r="H202" s="2">
        <v>549.74522292993629</v>
      </c>
      <c r="I202" s="1">
        <v>691</v>
      </c>
      <c r="J202" s="2">
        <v>622.12735166425466</v>
      </c>
    </row>
    <row r="203" spans="1:10" x14ac:dyDescent="0.2">
      <c r="A203" s="5" t="s">
        <v>408</v>
      </c>
      <c r="B203" s="5" t="s">
        <v>409</v>
      </c>
      <c r="C203" s="1">
        <v>537</v>
      </c>
      <c r="D203" s="2">
        <v>389.8882681564246</v>
      </c>
      <c r="E203" s="1">
        <v>566</v>
      </c>
      <c r="F203" s="2">
        <v>438.76325088339223</v>
      </c>
      <c r="G203" s="1">
        <v>589</v>
      </c>
      <c r="H203" s="2">
        <v>495.56876061120539</v>
      </c>
      <c r="I203" s="1">
        <v>554</v>
      </c>
      <c r="J203" s="2">
        <v>541.91335740072213</v>
      </c>
    </row>
    <row r="204" spans="1:10" x14ac:dyDescent="0.2">
      <c r="A204" s="5" t="s">
        <v>410</v>
      </c>
      <c r="B204" s="5" t="s">
        <v>411</v>
      </c>
      <c r="C204" s="1">
        <v>1073</v>
      </c>
      <c r="D204" s="2">
        <v>653.81174277725995</v>
      </c>
      <c r="E204" s="1">
        <v>1071</v>
      </c>
      <c r="F204" s="2">
        <v>689.25303454715231</v>
      </c>
      <c r="G204" s="1">
        <v>1109</v>
      </c>
      <c r="H204" s="2">
        <v>798.43101893597839</v>
      </c>
      <c r="I204" s="1">
        <v>1145</v>
      </c>
      <c r="J204" s="2">
        <v>916.32314410480353</v>
      </c>
    </row>
    <row r="205" spans="1:10" x14ac:dyDescent="0.2">
      <c r="A205" s="5" t="s">
        <v>412</v>
      </c>
      <c r="B205" s="5" t="s">
        <v>413</v>
      </c>
      <c r="C205" s="1">
        <v>1516</v>
      </c>
      <c r="D205" s="2">
        <v>959.78891820580475</v>
      </c>
      <c r="E205" s="1">
        <v>1580</v>
      </c>
      <c r="F205" s="2">
        <v>1001.2088607594937</v>
      </c>
      <c r="G205" s="1">
        <v>1677</v>
      </c>
      <c r="H205" s="2">
        <v>1069.9582587954681</v>
      </c>
      <c r="I205" s="1">
        <v>1619</v>
      </c>
      <c r="J205" s="2">
        <v>1233.1377393452749</v>
      </c>
    </row>
    <row r="206" spans="1:10" x14ac:dyDescent="0.2">
      <c r="A206" s="5" t="s">
        <v>414</v>
      </c>
      <c r="B206" s="5" t="s">
        <v>415</v>
      </c>
      <c r="C206" s="1">
        <v>799</v>
      </c>
      <c r="D206" s="2">
        <v>586.58322903629539</v>
      </c>
      <c r="E206" s="1">
        <v>854</v>
      </c>
      <c r="F206" s="2">
        <v>668.20843091334893</v>
      </c>
      <c r="G206" s="1">
        <v>850</v>
      </c>
      <c r="H206" s="2">
        <v>783.92941176470583</v>
      </c>
      <c r="I206" s="1">
        <v>937</v>
      </c>
      <c r="J206" s="2">
        <v>893.75667022411949</v>
      </c>
    </row>
    <row r="207" spans="1:10" x14ac:dyDescent="0.2">
      <c r="A207" s="5" t="s">
        <v>416</v>
      </c>
      <c r="B207" s="5" t="s">
        <v>417</v>
      </c>
      <c r="C207" s="1">
        <v>48</v>
      </c>
      <c r="D207" s="2">
        <v>503.95833333333337</v>
      </c>
      <c r="E207" s="1">
        <v>53</v>
      </c>
      <c r="F207" s="2">
        <v>610.56603773584902</v>
      </c>
      <c r="G207" s="1">
        <v>54</v>
      </c>
      <c r="H207" s="2">
        <v>616.85185185185185</v>
      </c>
      <c r="I207" s="1">
        <v>53</v>
      </c>
      <c r="J207" s="2">
        <v>675.84905660377353</v>
      </c>
    </row>
    <row r="208" spans="1:10" x14ac:dyDescent="0.2">
      <c r="A208" s="5" t="s">
        <v>418</v>
      </c>
      <c r="B208" s="5" t="s">
        <v>419</v>
      </c>
      <c r="C208" s="1">
        <v>447</v>
      </c>
      <c r="D208" s="2">
        <v>598.92617449664431</v>
      </c>
      <c r="E208" s="1">
        <v>467</v>
      </c>
      <c r="F208" s="2">
        <v>626.78800856531052</v>
      </c>
      <c r="G208" s="1">
        <v>466</v>
      </c>
      <c r="H208" s="2">
        <v>718.19742489270391</v>
      </c>
      <c r="I208" s="1">
        <v>473</v>
      </c>
      <c r="J208" s="2">
        <v>847.5052854122622</v>
      </c>
    </row>
    <row r="209" spans="1:10" x14ac:dyDescent="0.2">
      <c r="A209" s="5" t="s">
        <v>420</v>
      </c>
      <c r="B209" s="5" t="s">
        <v>421</v>
      </c>
      <c r="C209" s="1">
        <v>392</v>
      </c>
      <c r="D209" s="2">
        <v>788.85204081632651</v>
      </c>
      <c r="E209" s="1">
        <v>383</v>
      </c>
      <c r="F209" s="2">
        <v>878.92950391644911</v>
      </c>
      <c r="G209" s="1">
        <v>364</v>
      </c>
      <c r="H209" s="2">
        <v>900.824175824176</v>
      </c>
      <c r="I209" s="1">
        <v>334</v>
      </c>
      <c r="J209" s="2">
        <v>978.17365269461072</v>
      </c>
    </row>
    <row r="210" spans="1:10" x14ac:dyDescent="0.2">
      <c r="A210" s="5" t="s">
        <v>422</v>
      </c>
      <c r="B210" s="5" t="s">
        <v>423</v>
      </c>
      <c r="C210" s="1">
        <v>19706</v>
      </c>
      <c r="D210" s="2">
        <v>179.19263168578098</v>
      </c>
      <c r="E210" s="1">
        <v>5483</v>
      </c>
      <c r="F210" s="2">
        <v>605.69213933977755</v>
      </c>
      <c r="G210" s="1">
        <v>5576</v>
      </c>
      <c r="H210" s="2">
        <v>650.1685796269727</v>
      </c>
      <c r="I210" s="1">
        <v>5408</v>
      </c>
      <c r="J210" s="2">
        <v>725.65828402366856</v>
      </c>
    </row>
    <row r="211" spans="1:10" x14ac:dyDescent="0.2">
      <c r="A211" s="5" t="s">
        <v>424</v>
      </c>
      <c r="B211" s="5" t="s">
        <v>425</v>
      </c>
      <c r="C211" s="1">
        <v>5065</v>
      </c>
      <c r="D211" s="2">
        <v>458.44225074037513</v>
      </c>
      <c r="E211" s="1">
        <v>4976</v>
      </c>
      <c r="F211" s="2">
        <v>488.91479099678457</v>
      </c>
      <c r="G211" s="1">
        <v>4786</v>
      </c>
      <c r="H211" s="2">
        <v>532.3276222315086</v>
      </c>
      <c r="I211" s="1">
        <v>4459</v>
      </c>
      <c r="J211" s="2">
        <v>597.575689616506</v>
      </c>
    </row>
    <row r="212" spans="1:10" x14ac:dyDescent="0.2">
      <c r="A212" s="5" t="s">
        <v>426</v>
      </c>
      <c r="B212" s="5" t="s">
        <v>427</v>
      </c>
      <c r="C212" s="1">
        <v>224</v>
      </c>
      <c r="D212" s="2">
        <v>434.46428571428572</v>
      </c>
      <c r="E212" s="1">
        <v>207</v>
      </c>
      <c r="F212" s="2">
        <v>480.14492753623188</v>
      </c>
      <c r="G212" s="1">
        <v>206</v>
      </c>
      <c r="H212" s="2">
        <v>598.15533980582529</v>
      </c>
      <c r="I212" s="1">
        <v>179</v>
      </c>
      <c r="J212" s="2">
        <v>604.58100558659225</v>
      </c>
    </row>
    <row r="213" spans="1:10" x14ac:dyDescent="0.2">
      <c r="A213" s="5" t="s">
        <v>428</v>
      </c>
      <c r="B213" s="5" t="s">
        <v>429</v>
      </c>
      <c r="C213" s="1">
        <v>1051</v>
      </c>
      <c r="D213" s="2">
        <v>465.69933396764986</v>
      </c>
      <c r="E213" s="1">
        <v>1042</v>
      </c>
      <c r="F213" s="2">
        <v>468.7811900191939</v>
      </c>
      <c r="G213" s="1">
        <v>1105</v>
      </c>
      <c r="H213" s="2">
        <v>507.36651583710403</v>
      </c>
      <c r="I213" s="1">
        <v>1024</v>
      </c>
      <c r="J213" s="2">
        <v>571.298828125</v>
      </c>
    </row>
    <row r="214" spans="1:10" x14ac:dyDescent="0.2">
      <c r="A214" s="5" t="s">
        <v>430</v>
      </c>
      <c r="B214" s="5" t="s">
        <v>431</v>
      </c>
      <c r="C214" s="1">
        <v>3973</v>
      </c>
      <c r="D214" s="2">
        <v>597.01485023911403</v>
      </c>
      <c r="E214" s="1">
        <v>3688</v>
      </c>
      <c r="F214" s="2">
        <v>556.07375271149681</v>
      </c>
      <c r="G214" s="1">
        <v>3729</v>
      </c>
      <c r="H214" s="2">
        <v>629.23572003218021</v>
      </c>
      <c r="I214" s="1">
        <v>3863</v>
      </c>
      <c r="J214" s="2">
        <v>720.43230649754082</v>
      </c>
    </row>
    <row r="215" spans="1:10" x14ac:dyDescent="0.2">
      <c r="A215" s="5" t="s">
        <v>432</v>
      </c>
      <c r="B215" s="5" t="s">
        <v>433</v>
      </c>
      <c r="C215" s="1">
        <v>1521</v>
      </c>
      <c r="D215" s="2">
        <v>407.33727810650896</v>
      </c>
      <c r="E215" s="1">
        <v>1627</v>
      </c>
      <c r="F215" s="2">
        <v>467.10510141364477</v>
      </c>
      <c r="G215" s="1">
        <v>1694</v>
      </c>
      <c r="H215" s="2">
        <v>509.5749704840614</v>
      </c>
      <c r="I215" s="1">
        <v>1441</v>
      </c>
      <c r="J215" s="2">
        <v>555.47536433032622</v>
      </c>
    </row>
    <row r="216" spans="1:10" x14ac:dyDescent="0.2">
      <c r="A216" s="5" t="s">
        <v>434</v>
      </c>
      <c r="B216" s="5" t="s">
        <v>435</v>
      </c>
      <c r="C216" s="1">
        <v>229</v>
      </c>
      <c r="D216" s="2">
        <v>252.57641921397382</v>
      </c>
      <c r="E216" s="1">
        <v>208</v>
      </c>
      <c r="F216" s="2">
        <v>271.73076923076923</v>
      </c>
      <c r="G216" s="1">
        <v>179</v>
      </c>
      <c r="H216" s="2">
        <v>302.45810055865923</v>
      </c>
      <c r="I216" s="1">
        <v>158</v>
      </c>
      <c r="J216" s="2">
        <v>377.84810126582278</v>
      </c>
    </row>
    <row r="217" spans="1:10" x14ac:dyDescent="0.2">
      <c r="A217" s="5" t="s">
        <v>436</v>
      </c>
      <c r="B217" s="5" t="s">
        <v>437</v>
      </c>
      <c r="C217" s="1">
        <v>503</v>
      </c>
      <c r="D217" s="2">
        <v>705.38767395626246</v>
      </c>
      <c r="E217" s="1">
        <v>484</v>
      </c>
      <c r="F217" s="2">
        <v>695.14462809917359</v>
      </c>
      <c r="G217" s="1">
        <v>419</v>
      </c>
      <c r="H217" s="2">
        <v>743.29355608591879</v>
      </c>
      <c r="I217" s="1">
        <v>379</v>
      </c>
      <c r="J217" s="2">
        <v>823.77308707124007</v>
      </c>
    </row>
    <row r="218" spans="1:10" x14ac:dyDescent="0.2">
      <c r="A218" s="5" t="s">
        <v>438</v>
      </c>
      <c r="B218" s="5" t="s">
        <v>439</v>
      </c>
      <c r="C218" s="1">
        <v>532</v>
      </c>
      <c r="D218" s="2">
        <v>653.83458646616543</v>
      </c>
      <c r="E218" s="1">
        <v>544</v>
      </c>
      <c r="F218" s="2">
        <v>776.50735294117646</v>
      </c>
      <c r="G218" s="1">
        <v>576</v>
      </c>
      <c r="H218" s="2">
        <v>914.27083333333337</v>
      </c>
      <c r="I218" s="1">
        <v>594</v>
      </c>
      <c r="J218" s="2">
        <v>1128.1144781144781</v>
      </c>
    </row>
    <row r="219" spans="1:10" x14ac:dyDescent="0.2">
      <c r="A219" s="5" t="s">
        <v>440</v>
      </c>
      <c r="B219" s="5" t="s">
        <v>441</v>
      </c>
      <c r="C219" s="1">
        <v>1827</v>
      </c>
      <c r="D219" s="2">
        <v>546.08648056923926</v>
      </c>
      <c r="E219" s="1">
        <v>1924</v>
      </c>
      <c r="F219" s="2">
        <v>586.38773388773393</v>
      </c>
      <c r="G219" s="1">
        <v>2083</v>
      </c>
      <c r="H219" s="2">
        <v>666.19299087854051</v>
      </c>
      <c r="I219" s="1">
        <v>1949</v>
      </c>
      <c r="J219" s="2">
        <v>750.71318624935873</v>
      </c>
    </row>
    <row r="220" spans="1:10" x14ac:dyDescent="0.2">
      <c r="A220" s="5" t="s">
        <v>442</v>
      </c>
      <c r="B220" s="5" t="s">
        <v>443</v>
      </c>
      <c r="C220" s="1">
        <v>244</v>
      </c>
      <c r="D220" s="2">
        <v>485.86065573770492</v>
      </c>
      <c r="E220" s="1">
        <v>323</v>
      </c>
      <c r="F220" s="2">
        <v>488.39009287925694</v>
      </c>
      <c r="G220" s="1">
        <v>348</v>
      </c>
      <c r="H220" s="2">
        <v>613.21839080459768</v>
      </c>
      <c r="I220" s="1">
        <v>372</v>
      </c>
      <c r="J220" s="2">
        <v>641.07526881720435</v>
      </c>
    </row>
    <row r="221" spans="1:10" x14ac:dyDescent="0.2">
      <c r="A221" s="5" t="s">
        <v>444</v>
      </c>
      <c r="B221" s="5" t="s">
        <v>445</v>
      </c>
      <c r="C221" s="1">
        <v>630</v>
      </c>
      <c r="D221" s="2">
        <v>407.22222222222229</v>
      </c>
      <c r="E221" s="1">
        <v>637</v>
      </c>
      <c r="F221" s="2">
        <v>472.05651491365774</v>
      </c>
      <c r="G221" s="1">
        <v>654</v>
      </c>
      <c r="H221" s="2">
        <v>522.00305810397549</v>
      </c>
      <c r="I221" s="1">
        <v>622</v>
      </c>
      <c r="J221" s="2">
        <v>585.88424437299034</v>
      </c>
    </row>
    <row r="222" spans="1:10" x14ac:dyDescent="0.2">
      <c r="A222" s="5" t="s">
        <v>446</v>
      </c>
      <c r="B222" s="5" t="s">
        <v>447</v>
      </c>
      <c r="C222" s="1">
        <v>1543</v>
      </c>
      <c r="D222" s="2">
        <v>604.81529488010369</v>
      </c>
      <c r="E222" s="1">
        <v>1621</v>
      </c>
      <c r="F222" s="2">
        <v>597.99506477483033</v>
      </c>
      <c r="G222" s="1">
        <v>1746</v>
      </c>
      <c r="H222" s="2">
        <v>645.18900343642611</v>
      </c>
      <c r="I222" s="1">
        <v>1800</v>
      </c>
      <c r="J222" s="2">
        <v>708.02777777777783</v>
      </c>
    </row>
    <row r="223" spans="1:10" x14ac:dyDescent="0.2">
      <c r="A223" s="5" t="s">
        <v>448</v>
      </c>
      <c r="B223" s="5" t="s">
        <v>449</v>
      </c>
      <c r="C223" s="1">
        <v>1832</v>
      </c>
      <c r="D223" s="2">
        <v>470.45305676855895</v>
      </c>
      <c r="E223" s="1">
        <v>1906</v>
      </c>
      <c r="F223" s="2">
        <v>471.96222455403989</v>
      </c>
      <c r="G223" s="1">
        <v>1856</v>
      </c>
      <c r="H223" s="2">
        <v>546.08297413793105</v>
      </c>
      <c r="I223" s="1">
        <v>1866</v>
      </c>
      <c r="J223" s="2">
        <v>607.27224008574501</v>
      </c>
    </row>
    <row r="224" spans="1:10" x14ac:dyDescent="0.2">
      <c r="A224" s="5" t="s">
        <v>450</v>
      </c>
      <c r="B224" s="5" t="s">
        <v>451</v>
      </c>
      <c r="C224" s="1">
        <v>496</v>
      </c>
      <c r="D224" s="2">
        <v>221.89516129032259</v>
      </c>
      <c r="E224" s="1">
        <v>460</v>
      </c>
      <c r="F224" s="2">
        <v>217.97826086956522</v>
      </c>
      <c r="G224" s="1">
        <v>375</v>
      </c>
      <c r="H224" s="2">
        <v>240.10666666666668</v>
      </c>
      <c r="I224" s="1">
        <v>452</v>
      </c>
      <c r="J224" s="2">
        <v>240.22123893805309</v>
      </c>
    </row>
    <row r="225" spans="1:10" x14ac:dyDescent="0.2">
      <c r="A225" s="5" t="s">
        <v>452</v>
      </c>
      <c r="B225" s="5" t="s">
        <v>453</v>
      </c>
      <c r="C225" s="1">
        <v>903</v>
      </c>
      <c r="D225" s="2">
        <v>580.50941306755271</v>
      </c>
      <c r="E225" s="1">
        <v>994</v>
      </c>
      <c r="F225" s="2">
        <v>625.41247484909456</v>
      </c>
      <c r="G225" s="1">
        <v>1110</v>
      </c>
      <c r="H225" s="2">
        <v>680.90090090090098</v>
      </c>
      <c r="I225" s="1">
        <v>1088</v>
      </c>
      <c r="J225" s="2">
        <v>875.33088235294122</v>
      </c>
    </row>
    <row r="226" spans="1:10" x14ac:dyDescent="0.2">
      <c r="A226" s="5" t="s">
        <v>454</v>
      </c>
      <c r="B226" s="5" t="s">
        <v>455</v>
      </c>
      <c r="C226" s="1">
        <v>11228</v>
      </c>
      <c r="D226" s="2">
        <v>480.46401852511582</v>
      </c>
      <c r="E226" s="1">
        <v>11318</v>
      </c>
      <c r="F226" s="2">
        <v>501.23431701714082</v>
      </c>
      <c r="G226" s="1">
        <v>11358</v>
      </c>
      <c r="H226" s="2">
        <v>549.19087867582311</v>
      </c>
      <c r="I226" s="1">
        <v>11165</v>
      </c>
      <c r="J226" s="2">
        <v>620.8929690998657</v>
      </c>
    </row>
    <row r="227" spans="1:10" x14ac:dyDescent="0.2">
      <c r="A227" s="5" t="s">
        <v>456</v>
      </c>
      <c r="B227" s="5" t="s">
        <v>457</v>
      </c>
      <c r="C227" s="1">
        <v>543</v>
      </c>
      <c r="D227" s="2">
        <v>812.13627992633519</v>
      </c>
      <c r="E227" s="1">
        <v>539</v>
      </c>
      <c r="F227" s="2">
        <v>790.16697588126158</v>
      </c>
      <c r="G227" s="1">
        <v>543</v>
      </c>
      <c r="H227" s="2">
        <v>848.60036832412527</v>
      </c>
      <c r="I227" s="1">
        <v>511</v>
      </c>
      <c r="J227" s="2">
        <v>921.99608610567509</v>
      </c>
    </row>
    <row r="228" spans="1:10" x14ac:dyDescent="0.2">
      <c r="A228" s="5" t="s">
        <v>458</v>
      </c>
      <c r="B228" s="5" t="s">
        <v>459</v>
      </c>
      <c r="C228" s="1">
        <v>292</v>
      </c>
      <c r="D228" s="2">
        <v>732.46575342465746</v>
      </c>
      <c r="E228" s="1">
        <v>279</v>
      </c>
      <c r="F228" s="2">
        <v>805.4480286738351</v>
      </c>
      <c r="G228" s="1">
        <v>268</v>
      </c>
      <c r="H228" s="2">
        <v>781.86567164179098</v>
      </c>
      <c r="I228" s="1">
        <v>241</v>
      </c>
      <c r="J228" s="2">
        <v>881.82572614107892</v>
      </c>
    </row>
    <row r="229" spans="1:10" x14ac:dyDescent="0.2">
      <c r="A229" s="5" t="s">
        <v>460</v>
      </c>
      <c r="B229" s="5" t="s">
        <v>461</v>
      </c>
      <c r="C229" s="1">
        <v>11099</v>
      </c>
      <c r="D229" s="2">
        <v>573.70573925578879</v>
      </c>
      <c r="E229" s="1">
        <v>11110</v>
      </c>
      <c r="F229" s="2">
        <v>603.58235823582368</v>
      </c>
      <c r="G229" s="1">
        <v>11262</v>
      </c>
      <c r="H229" s="2">
        <v>663.1450896821168</v>
      </c>
      <c r="I229" s="1">
        <v>11142</v>
      </c>
      <c r="J229" s="2">
        <v>759.1554478549632</v>
      </c>
    </row>
    <row r="230" spans="1:10" x14ac:dyDescent="0.2">
      <c r="A230" s="5" t="s">
        <v>462</v>
      </c>
      <c r="B230" s="5" t="s">
        <v>463</v>
      </c>
      <c r="C230" s="1">
        <v>806</v>
      </c>
      <c r="D230" s="2">
        <v>642.77915632754343</v>
      </c>
      <c r="E230" s="1">
        <v>836</v>
      </c>
      <c r="F230" s="2">
        <v>699.33014354066984</v>
      </c>
      <c r="G230" s="1">
        <v>886</v>
      </c>
      <c r="H230" s="2">
        <v>768.45372460496617</v>
      </c>
      <c r="I230" s="1">
        <v>928</v>
      </c>
      <c r="J230" s="2">
        <v>879.78448275862081</v>
      </c>
    </row>
    <row r="231" spans="1:10" x14ac:dyDescent="0.2">
      <c r="A231" s="5" t="s">
        <v>464</v>
      </c>
      <c r="B231" s="5" t="s">
        <v>465</v>
      </c>
      <c r="C231" s="1">
        <v>1605</v>
      </c>
      <c r="D231" s="2">
        <v>639.32087227414331</v>
      </c>
      <c r="E231" s="1">
        <v>1536</v>
      </c>
      <c r="F231" s="2">
        <v>692.97526041666663</v>
      </c>
      <c r="G231" s="1">
        <v>1555</v>
      </c>
      <c r="H231" s="2">
        <v>754.0771704180064</v>
      </c>
      <c r="I231" s="1">
        <v>1568</v>
      </c>
      <c r="J231" s="2">
        <v>852.65943877551024</v>
      </c>
    </row>
    <row r="232" spans="1:10" x14ac:dyDescent="0.2">
      <c r="A232" s="5" t="s">
        <v>466</v>
      </c>
      <c r="B232" s="5" t="s">
        <v>467</v>
      </c>
      <c r="C232" s="1">
        <v>411</v>
      </c>
      <c r="D232" s="2">
        <v>448.19951338199513</v>
      </c>
      <c r="E232" s="1">
        <v>399</v>
      </c>
      <c r="F232" s="2">
        <v>491.47869674185461</v>
      </c>
      <c r="G232" s="1">
        <v>379</v>
      </c>
      <c r="H232" s="2">
        <v>509.419525065963</v>
      </c>
      <c r="I232" s="1">
        <v>349</v>
      </c>
      <c r="J232" s="2">
        <v>583.0945558739254</v>
      </c>
    </row>
    <row r="233" spans="1:10" x14ac:dyDescent="0.2">
      <c r="A233" s="5" t="s">
        <v>468</v>
      </c>
      <c r="B233" s="5" t="s">
        <v>469</v>
      </c>
      <c r="C233" s="1">
        <v>4480</v>
      </c>
      <c r="D233" s="2">
        <v>321.13392857142861</v>
      </c>
      <c r="E233" s="1">
        <v>4291</v>
      </c>
      <c r="F233" s="2">
        <v>316.87718480540667</v>
      </c>
      <c r="G233" s="1">
        <v>4335</v>
      </c>
      <c r="H233" s="2">
        <v>349.16724336793544</v>
      </c>
      <c r="I233" s="1">
        <v>4040</v>
      </c>
      <c r="J233" s="2">
        <v>359.730198019802</v>
      </c>
    </row>
    <row r="234" spans="1:10" x14ac:dyDescent="0.2">
      <c r="A234" s="5" t="s">
        <v>470</v>
      </c>
      <c r="B234" s="5" t="s">
        <v>471</v>
      </c>
      <c r="C234" s="1">
        <v>310</v>
      </c>
      <c r="D234" s="2">
        <v>650.41935483870975</v>
      </c>
      <c r="E234" s="1">
        <v>295</v>
      </c>
      <c r="F234" s="2">
        <v>680.9152542372882</v>
      </c>
      <c r="G234" s="1">
        <v>289</v>
      </c>
      <c r="H234" s="2">
        <v>670.76124567474051</v>
      </c>
      <c r="I234" s="1">
        <v>270</v>
      </c>
      <c r="J234" s="2">
        <v>770.74074074074076</v>
      </c>
    </row>
    <row r="235" spans="1:10" x14ac:dyDescent="0.2">
      <c r="A235" s="5" t="s">
        <v>472</v>
      </c>
      <c r="B235" s="5" t="s">
        <v>473</v>
      </c>
      <c r="C235" s="1">
        <v>694</v>
      </c>
      <c r="D235" s="2">
        <v>362.21902017291063</v>
      </c>
      <c r="E235" s="1">
        <v>713</v>
      </c>
      <c r="F235" s="2">
        <v>407.50350631136047</v>
      </c>
      <c r="G235" s="1">
        <v>717</v>
      </c>
      <c r="H235" s="2">
        <v>439.860529986053</v>
      </c>
      <c r="I235" s="1">
        <v>658</v>
      </c>
      <c r="J235" s="2">
        <v>520.80547112462011</v>
      </c>
    </row>
    <row r="236" spans="1:10" x14ac:dyDescent="0.2">
      <c r="A236" s="5" t="s">
        <v>474</v>
      </c>
      <c r="B236" s="5" t="s">
        <v>475</v>
      </c>
      <c r="C236" s="1">
        <v>518</v>
      </c>
      <c r="D236" s="2">
        <v>484.38223938223939</v>
      </c>
      <c r="E236" s="1">
        <v>489</v>
      </c>
      <c r="F236" s="2">
        <v>495.33742331288346</v>
      </c>
      <c r="G236" s="1">
        <v>458</v>
      </c>
      <c r="H236" s="2">
        <v>535.80786026200872</v>
      </c>
      <c r="I236" s="1">
        <v>441</v>
      </c>
      <c r="J236" s="2">
        <v>580.54421768707471</v>
      </c>
    </row>
    <row r="237" spans="1:10" x14ac:dyDescent="0.2">
      <c r="A237" s="5" t="s">
        <v>476</v>
      </c>
      <c r="B237" s="5" t="s">
        <v>477</v>
      </c>
      <c r="C237" s="1">
        <v>192</v>
      </c>
      <c r="D237" s="2">
        <v>531.40625</v>
      </c>
      <c r="E237" s="1">
        <v>207</v>
      </c>
      <c r="F237" s="2">
        <v>541.73913043478262</v>
      </c>
      <c r="G237" s="1">
        <v>199</v>
      </c>
      <c r="H237" s="2">
        <v>620.5025125628141</v>
      </c>
      <c r="I237" s="1">
        <v>198</v>
      </c>
      <c r="J237" s="2">
        <v>676.66666666666663</v>
      </c>
    </row>
    <row r="238" spans="1:10" x14ac:dyDescent="0.2">
      <c r="A238" s="5" t="s">
        <v>478</v>
      </c>
      <c r="B238" s="5" t="s">
        <v>479</v>
      </c>
      <c r="C238" s="1">
        <v>5004</v>
      </c>
      <c r="D238" s="2">
        <v>539.32653876898485</v>
      </c>
      <c r="E238" s="1">
        <v>5105</v>
      </c>
      <c r="F238" s="2">
        <v>562.96963761018617</v>
      </c>
      <c r="G238" s="1">
        <v>5320</v>
      </c>
      <c r="H238" s="2">
        <v>629.56954887218046</v>
      </c>
      <c r="I238" s="1">
        <v>5262</v>
      </c>
      <c r="J238" s="2">
        <v>708.61839604713043</v>
      </c>
    </row>
    <row r="239" spans="1:10" x14ac:dyDescent="0.2">
      <c r="A239" s="5" t="s">
        <v>480</v>
      </c>
      <c r="B239" s="5" t="s">
        <v>481</v>
      </c>
      <c r="C239" s="1">
        <v>281</v>
      </c>
      <c r="D239" s="2">
        <v>894.62633451957299</v>
      </c>
      <c r="E239" s="1">
        <v>324</v>
      </c>
      <c r="F239" s="2">
        <v>727.253086419753</v>
      </c>
      <c r="G239" s="1">
        <v>330</v>
      </c>
      <c r="H239" s="2">
        <v>975.57575757575751</v>
      </c>
      <c r="I239" s="1">
        <v>404</v>
      </c>
      <c r="J239" s="2">
        <v>1234.3811881188119</v>
      </c>
    </row>
    <row r="240" spans="1:10" x14ac:dyDescent="0.2">
      <c r="A240" s="5" t="s">
        <v>482</v>
      </c>
      <c r="B240" s="5" t="s">
        <v>483</v>
      </c>
      <c r="C240" s="1">
        <v>652</v>
      </c>
      <c r="D240" s="2">
        <v>666.28834355828224</v>
      </c>
      <c r="E240" s="1">
        <v>601</v>
      </c>
      <c r="F240" s="2">
        <v>667.07154742096509</v>
      </c>
      <c r="G240" s="1">
        <v>551</v>
      </c>
      <c r="H240" s="2">
        <v>747.47731397459177</v>
      </c>
      <c r="I240" s="1">
        <v>440</v>
      </c>
      <c r="J240" s="2">
        <v>787.18181818181824</v>
      </c>
    </row>
    <row r="241" spans="1:10" x14ac:dyDescent="0.2">
      <c r="A241" s="5" t="s">
        <v>484</v>
      </c>
      <c r="B241" s="5" t="s">
        <v>485</v>
      </c>
      <c r="C241" s="1">
        <v>129</v>
      </c>
      <c r="D241" s="2">
        <v>423.7209302325582</v>
      </c>
      <c r="E241" s="1">
        <v>148</v>
      </c>
      <c r="F241" s="2">
        <v>457.56756756756755</v>
      </c>
      <c r="G241" s="1">
        <v>160</v>
      </c>
      <c r="H241" s="2">
        <v>516.06250000000011</v>
      </c>
      <c r="I241" s="1">
        <v>184</v>
      </c>
      <c r="J241" s="2">
        <v>608.04347826086962</v>
      </c>
    </row>
    <row r="242" spans="1:10" x14ac:dyDescent="0.2">
      <c r="A242" s="5" t="s">
        <v>486</v>
      </c>
      <c r="B242" s="5" t="s">
        <v>487</v>
      </c>
      <c r="C242" s="1">
        <v>16225</v>
      </c>
      <c r="D242" s="2">
        <v>337.67704160246535</v>
      </c>
      <c r="E242" s="1">
        <v>16666</v>
      </c>
      <c r="F242" s="2">
        <v>378.59114364574589</v>
      </c>
      <c r="G242" s="1">
        <v>16905</v>
      </c>
      <c r="H242" s="2">
        <v>420.58917480035495</v>
      </c>
      <c r="I242" s="1">
        <v>16733</v>
      </c>
      <c r="J242" s="2">
        <v>478.14020199605574</v>
      </c>
    </row>
    <row r="243" spans="1:10" x14ac:dyDescent="0.2">
      <c r="A243" s="5" t="s">
        <v>488</v>
      </c>
      <c r="B243" s="5" t="s">
        <v>489</v>
      </c>
      <c r="C243" s="1">
        <v>7471</v>
      </c>
      <c r="D243" s="2">
        <v>240.58358988087272</v>
      </c>
      <c r="E243" s="1">
        <v>7936</v>
      </c>
      <c r="F243" s="2">
        <v>271.36970766129031</v>
      </c>
      <c r="G243" s="1">
        <v>8272</v>
      </c>
      <c r="H243" s="2">
        <v>298.3607350096712</v>
      </c>
      <c r="I243" s="1">
        <v>8193</v>
      </c>
      <c r="J243" s="2">
        <v>340.35029903576225</v>
      </c>
    </row>
    <row r="244" spans="1:10" x14ac:dyDescent="0.2">
      <c r="A244" s="5" t="s">
        <v>490</v>
      </c>
      <c r="B244" s="5" t="s">
        <v>491</v>
      </c>
      <c r="C244" s="1">
        <v>5731</v>
      </c>
      <c r="D244" s="2">
        <v>256.79462571976967</v>
      </c>
      <c r="E244" s="1">
        <v>6050</v>
      </c>
      <c r="F244" s="2">
        <v>289.79008264462806</v>
      </c>
      <c r="G244" s="1">
        <v>6200</v>
      </c>
      <c r="H244" s="2">
        <v>314.12580645161285</v>
      </c>
      <c r="I244" s="1">
        <v>6014</v>
      </c>
      <c r="J244" s="2">
        <v>345.6617891586298</v>
      </c>
    </row>
    <row r="245" spans="1:10" x14ac:dyDescent="0.2">
      <c r="A245" s="5" t="s">
        <v>492</v>
      </c>
      <c r="B245" s="5" t="s">
        <v>493</v>
      </c>
      <c r="C245" s="1">
        <v>1201</v>
      </c>
      <c r="D245" s="2">
        <v>155.18734388009992</v>
      </c>
      <c r="E245" s="1">
        <v>1081</v>
      </c>
      <c r="F245" s="2">
        <v>191.84088806660498</v>
      </c>
      <c r="G245" s="1">
        <v>951</v>
      </c>
      <c r="H245" s="2">
        <v>224.58464773922188</v>
      </c>
      <c r="I245" s="1">
        <v>873</v>
      </c>
      <c r="J245" s="2">
        <v>285.78465063001147</v>
      </c>
    </row>
    <row r="246" spans="1:10" x14ac:dyDescent="0.2">
      <c r="A246" s="5" t="s">
        <v>494</v>
      </c>
      <c r="B246" s="5" t="s">
        <v>495</v>
      </c>
      <c r="C246" s="1">
        <v>1233</v>
      </c>
      <c r="D246" s="2">
        <v>237.59935117599349</v>
      </c>
      <c r="E246" s="1">
        <v>1295</v>
      </c>
      <c r="F246" s="2">
        <v>265.67567567567568</v>
      </c>
      <c r="G246" s="1">
        <v>1240</v>
      </c>
      <c r="H246" s="2">
        <v>301.56451612903226</v>
      </c>
      <c r="I246" s="1">
        <v>1203</v>
      </c>
      <c r="J246" s="2">
        <v>356.74979218620115</v>
      </c>
    </row>
    <row r="247" spans="1:10" x14ac:dyDescent="0.2">
      <c r="A247" s="5" t="s">
        <v>496</v>
      </c>
      <c r="B247" s="5" t="s">
        <v>497</v>
      </c>
      <c r="C247" s="1">
        <v>4081</v>
      </c>
      <c r="D247" s="2">
        <v>442.11712815486396</v>
      </c>
      <c r="E247" s="1">
        <v>4003</v>
      </c>
      <c r="F247" s="2">
        <v>473.33250062453158</v>
      </c>
      <c r="G247" s="1">
        <v>3850</v>
      </c>
      <c r="H247" s="2">
        <v>512.26493506493512</v>
      </c>
      <c r="I247" s="1">
        <v>3660</v>
      </c>
      <c r="J247" s="2">
        <v>573.62568306010928</v>
      </c>
    </row>
    <row r="248" spans="1:10" x14ac:dyDescent="0.2">
      <c r="A248" s="5" t="s">
        <v>498</v>
      </c>
      <c r="B248" s="5" t="s">
        <v>499</v>
      </c>
      <c r="C248" s="1">
        <v>147</v>
      </c>
      <c r="D248" s="2">
        <v>436.19047619047626</v>
      </c>
      <c r="E248" s="1">
        <v>161</v>
      </c>
      <c r="F248" s="2">
        <v>458.88198757763968</v>
      </c>
      <c r="G248" s="1">
        <v>161</v>
      </c>
      <c r="H248" s="2">
        <v>541.55279503105589</v>
      </c>
      <c r="I248" s="1">
        <v>141</v>
      </c>
      <c r="J248" s="2">
        <v>591.70212765957456</v>
      </c>
    </row>
    <row r="249" spans="1:10" x14ac:dyDescent="0.2">
      <c r="A249" s="5" t="s">
        <v>500</v>
      </c>
      <c r="B249" s="5" t="s">
        <v>501</v>
      </c>
      <c r="C249" s="1">
        <v>1133</v>
      </c>
      <c r="D249" s="2">
        <v>393.42453662842013</v>
      </c>
      <c r="E249" s="1">
        <v>1120</v>
      </c>
      <c r="F249" s="2">
        <v>416.30357142857144</v>
      </c>
      <c r="G249" s="1">
        <v>1173</v>
      </c>
      <c r="H249" s="2">
        <v>457.25490196078431</v>
      </c>
      <c r="I249" s="1">
        <v>1164</v>
      </c>
      <c r="J249" s="2">
        <v>481.37457044673545</v>
      </c>
    </row>
    <row r="250" spans="1:10" x14ac:dyDescent="0.2">
      <c r="A250" s="5" t="s">
        <v>502</v>
      </c>
      <c r="B250" s="5" t="s">
        <v>503</v>
      </c>
      <c r="C250" s="1">
        <v>49</v>
      </c>
      <c r="D250" s="2">
        <v>338.16326530612247</v>
      </c>
      <c r="E250" s="1">
        <v>43</v>
      </c>
      <c r="F250" s="2">
        <v>385.58139534883725</v>
      </c>
      <c r="G250" s="1">
        <v>40</v>
      </c>
      <c r="H250" s="2">
        <v>414.75</v>
      </c>
      <c r="I250" s="1">
        <v>36</v>
      </c>
      <c r="J250" s="2">
        <v>490.83333333333337</v>
      </c>
    </row>
    <row r="251" spans="1:10" x14ac:dyDescent="0.2">
      <c r="A251" s="5" t="s">
        <v>504</v>
      </c>
      <c r="B251" s="5" t="s">
        <v>505</v>
      </c>
      <c r="C251" s="1">
        <v>89</v>
      </c>
      <c r="D251" s="2">
        <v>390.44943820224722</v>
      </c>
      <c r="E251" s="1">
        <v>85</v>
      </c>
      <c r="F251" s="2">
        <v>445.52941176470586</v>
      </c>
      <c r="G251" s="1">
        <v>92</v>
      </c>
      <c r="H251" s="2">
        <v>480.21739130434781</v>
      </c>
      <c r="I251" s="1">
        <v>95</v>
      </c>
      <c r="J251" s="2">
        <v>588.42105263157896</v>
      </c>
    </row>
    <row r="252" spans="1:10" x14ac:dyDescent="0.2">
      <c r="A252" s="5" t="s">
        <v>506</v>
      </c>
      <c r="B252" s="5" t="s">
        <v>507</v>
      </c>
      <c r="C252" s="1">
        <v>353</v>
      </c>
      <c r="D252" s="2">
        <v>351.3031161473088</v>
      </c>
      <c r="E252" s="1">
        <v>349</v>
      </c>
      <c r="F252" s="2">
        <v>413.18051575931236</v>
      </c>
      <c r="G252" s="1">
        <v>363</v>
      </c>
      <c r="H252" s="2">
        <v>467.71349862258955</v>
      </c>
      <c r="I252" s="1">
        <v>347</v>
      </c>
      <c r="J252" s="2">
        <v>505.64841498559076</v>
      </c>
    </row>
    <row r="253" spans="1:10" x14ac:dyDescent="0.2">
      <c r="A253" s="5" t="s">
        <v>508</v>
      </c>
      <c r="B253" s="5" t="s">
        <v>509</v>
      </c>
      <c r="C253" s="1">
        <v>218</v>
      </c>
      <c r="D253" s="2">
        <v>320.04587155963299</v>
      </c>
      <c r="E253" s="1">
        <v>234</v>
      </c>
      <c r="F253" s="2">
        <v>354.01709401709405</v>
      </c>
      <c r="G253" s="1">
        <v>261</v>
      </c>
      <c r="H253" s="2">
        <v>418.69731800766283</v>
      </c>
      <c r="I253" s="1">
        <v>260</v>
      </c>
      <c r="J253" s="2">
        <v>519.99999999999989</v>
      </c>
    </row>
    <row r="254" spans="1:10" x14ac:dyDescent="0.2">
      <c r="A254" s="5" t="s">
        <v>510</v>
      </c>
      <c r="B254" s="5" t="s">
        <v>511</v>
      </c>
      <c r="C254" s="1">
        <v>585</v>
      </c>
      <c r="D254" s="2">
        <v>327.11111111111114</v>
      </c>
      <c r="E254" s="1">
        <v>580</v>
      </c>
      <c r="F254" s="2">
        <v>349.0344827586207</v>
      </c>
      <c r="G254" s="1">
        <v>550</v>
      </c>
      <c r="H254" s="2">
        <v>420</v>
      </c>
      <c r="I254" s="1">
        <v>533</v>
      </c>
      <c r="J254" s="2">
        <v>447.09193245778613</v>
      </c>
    </row>
    <row r="255" spans="1:10" x14ac:dyDescent="0.2">
      <c r="A255" s="5" t="s">
        <v>512</v>
      </c>
      <c r="B255" s="5" t="s">
        <v>513</v>
      </c>
      <c r="C255" s="1">
        <v>7598</v>
      </c>
      <c r="D255" s="2">
        <v>321.31876809686759</v>
      </c>
      <c r="E255" s="1">
        <v>8305</v>
      </c>
      <c r="F255" s="2">
        <v>354.36724864539434</v>
      </c>
      <c r="G255" s="1">
        <v>8772</v>
      </c>
      <c r="H255" s="2">
        <v>388.73575011399913</v>
      </c>
      <c r="I255" s="1">
        <v>8965</v>
      </c>
      <c r="J255" s="2">
        <v>450.86447295036254</v>
      </c>
    </row>
    <row r="256" spans="1:10" x14ac:dyDescent="0.2">
      <c r="A256" s="5" t="s">
        <v>514</v>
      </c>
      <c r="B256" s="5" t="s">
        <v>515</v>
      </c>
      <c r="C256" s="1">
        <v>1839</v>
      </c>
      <c r="D256" s="2">
        <v>190.815660685155</v>
      </c>
      <c r="E256" s="1">
        <v>1764</v>
      </c>
      <c r="F256" s="2">
        <v>221.33219954648524</v>
      </c>
      <c r="G256" s="1">
        <v>1630</v>
      </c>
      <c r="H256" s="2">
        <v>244.17791411042944</v>
      </c>
      <c r="I256" s="1">
        <v>1448</v>
      </c>
      <c r="J256" s="2">
        <v>279.07458563535914</v>
      </c>
    </row>
    <row r="257" spans="1:10" x14ac:dyDescent="0.2">
      <c r="A257" s="5" t="s">
        <v>516</v>
      </c>
      <c r="B257" s="5" t="s">
        <v>517</v>
      </c>
      <c r="C257" s="1">
        <v>141</v>
      </c>
      <c r="D257" s="2">
        <v>198.36879432624113</v>
      </c>
      <c r="E257" s="1">
        <v>138</v>
      </c>
      <c r="F257" s="2">
        <v>184.56521739130432</v>
      </c>
      <c r="G257" s="1">
        <v>146</v>
      </c>
      <c r="H257" s="2">
        <v>198.08219178082192</v>
      </c>
      <c r="I257" s="1">
        <v>143</v>
      </c>
      <c r="J257" s="2">
        <v>250.20979020979024</v>
      </c>
    </row>
    <row r="258" spans="1:10" x14ac:dyDescent="0.2">
      <c r="A258" s="5" t="s">
        <v>518</v>
      </c>
      <c r="B258" s="5" t="s">
        <v>519</v>
      </c>
      <c r="C258" s="1">
        <v>453</v>
      </c>
      <c r="D258" s="2">
        <v>709.1832229580574</v>
      </c>
      <c r="E258" s="1">
        <v>472</v>
      </c>
      <c r="F258" s="2">
        <v>747.3940677966101</v>
      </c>
      <c r="G258" s="1">
        <v>407</v>
      </c>
      <c r="H258" s="2">
        <v>885.65110565110558</v>
      </c>
      <c r="I258" s="1">
        <v>383</v>
      </c>
      <c r="J258" s="2">
        <v>1009.3994778067885</v>
      </c>
    </row>
    <row r="259" spans="1:10" x14ac:dyDescent="0.2">
      <c r="A259" s="5" t="s">
        <v>520</v>
      </c>
      <c r="B259" s="5" t="s">
        <v>521</v>
      </c>
      <c r="C259" s="1">
        <v>8431</v>
      </c>
      <c r="D259" s="2">
        <v>527.5649389159056</v>
      </c>
      <c r="E259" s="1">
        <v>7888</v>
      </c>
      <c r="F259" s="2">
        <v>552.21982758620686</v>
      </c>
      <c r="G259" s="1">
        <v>7319</v>
      </c>
      <c r="H259" s="2">
        <v>595.85735756250858</v>
      </c>
      <c r="I259" s="1">
        <v>6739</v>
      </c>
      <c r="J259" s="2">
        <v>676.04392343077598</v>
      </c>
    </row>
    <row r="260" spans="1:10" x14ac:dyDescent="0.2">
      <c r="A260" s="5" t="s">
        <v>522</v>
      </c>
      <c r="B260" s="5" t="s">
        <v>523</v>
      </c>
      <c r="C260" s="1">
        <v>62121</v>
      </c>
      <c r="D260" s="2">
        <v>330.09996619500652</v>
      </c>
      <c r="E260" s="1">
        <v>63408</v>
      </c>
      <c r="F260" s="2">
        <v>360.91092606611153</v>
      </c>
      <c r="G260" s="1">
        <v>64570</v>
      </c>
      <c r="H260" s="2">
        <v>400.47746631562649</v>
      </c>
      <c r="I260" s="1">
        <v>62269</v>
      </c>
      <c r="J260" s="2">
        <v>454.6772872536896</v>
      </c>
    </row>
    <row r="261" spans="1:10" x14ac:dyDescent="0.2">
      <c r="A261" s="5" t="s">
        <v>524</v>
      </c>
      <c r="B261" s="5" t="s">
        <v>525</v>
      </c>
      <c r="C261" s="1">
        <v>2690</v>
      </c>
      <c r="D261" s="2">
        <v>358.51301115241637</v>
      </c>
      <c r="E261" s="1">
        <v>2363</v>
      </c>
      <c r="F261" s="2">
        <v>381.4007617435463</v>
      </c>
      <c r="G261" s="1">
        <v>2393</v>
      </c>
      <c r="H261" s="2">
        <v>428.87588800668613</v>
      </c>
      <c r="I261" s="1">
        <v>2358</v>
      </c>
      <c r="J261" s="2">
        <v>468.74893977947414</v>
      </c>
    </row>
    <row r="262" spans="1:10" x14ac:dyDescent="0.2">
      <c r="A262" s="5" t="s">
        <v>526</v>
      </c>
      <c r="B262" s="5" t="s">
        <v>527</v>
      </c>
      <c r="C262" s="1">
        <v>13</v>
      </c>
      <c r="D262" s="2">
        <v>141.53846153846155</v>
      </c>
      <c r="E262" s="1">
        <v>18</v>
      </c>
      <c r="F262" s="2">
        <v>135.55555555555554</v>
      </c>
      <c r="G262" s="1">
        <v>14</v>
      </c>
      <c r="H262" s="2">
        <v>173.57142857142858</v>
      </c>
      <c r="I262" s="1">
        <v>12</v>
      </c>
      <c r="J262" s="2">
        <v>275</v>
      </c>
    </row>
    <row r="263" spans="1:10" x14ac:dyDescent="0.2">
      <c r="A263" s="5" t="s">
        <v>528</v>
      </c>
      <c r="B263" s="5" t="s">
        <v>529</v>
      </c>
      <c r="C263" s="1">
        <v>120</v>
      </c>
      <c r="D263" s="2">
        <v>210.33333333333334</v>
      </c>
      <c r="E263" s="1">
        <v>93</v>
      </c>
      <c r="F263" s="2">
        <v>263.44086021505376</v>
      </c>
      <c r="G263" s="1">
        <v>79</v>
      </c>
      <c r="H263" s="2">
        <v>333.54430379746833</v>
      </c>
      <c r="I263" s="1">
        <v>100</v>
      </c>
      <c r="J263" s="2">
        <v>430.20000000000005</v>
      </c>
    </row>
    <row r="264" spans="1:10" x14ac:dyDescent="0.2">
      <c r="A264" s="5" t="s">
        <v>530</v>
      </c>
      <c r="B264" s="5" t="s">
        <v>531</v>
      </c>
      <c r="C264" s="1">
        <v>98</v>
      </c>
      <c r="D264" s="2">
        <v>321.63265306122446</v>
      </c>
      <c r="E264" s="1">
        <v>94</v>
      </c>
      <c r="F264" s="2">
        <v>370.21276595744683</v>
      </c>
      <c r="G264" s="1">
        <v>99</v>
      </c>
      <c r="H264" s="2">
        <v>362.82828282828285</v>
      </c>
      <c r="I264" s="1">
        <v>99</v>
      </c>
      <c r="J264" s="2">
        <v>412.92929292929296</v>
      </c>
    </row>
    <row r="265" spans="1:10" x14ac:dyDescent="0.2">
      <c r="A265" s="5" t="s">
        <v>532</v>
      </c>
      <c r="B265" s="5" t="s">
        <v>533</v>
      </c>
      <c r="C265" s="1">
        <v>1678</v>
      </c>
      <c r="D265" s="2">
        <v>423.43265792610254</v>
      </c>
      <c r="E265" s="1">
        <v>1441</v>
      </c>
      <c r="F265" s="2">
        <v>431.30464954892432</v>
      </c>
      <c r="G265" s="1">
        <v>1524</v>
      </c>
      <c r="H265" s="2">
        <v>517.2112860892388</v>
      </c>
      <c r="I265" s="1">
        <v>1410</v>
      </c>
      <c r="J265" s="2">
        <v>608.48936170212767</v>
      </c>
    </row>
    <row r="266" spans="1:10" x14ac:dyDescent="0.2">
      <c r="A266" s="5" t="s">
        <v>534</v>
      </c>
      <c r="B266" s="5" t="s">
        <v>535</v>
      </c>
      <c r="C266" s="1">
        <v>3508</v>
      </c>
      <c r="D266" s="2">
        <v>422.45724059293042</v>
      </c>
      <c r="E266" s="1">
        <v>3515</v>
      </c>
      <c r="F266" s="2">
        <v>452.37268847795173</v>
      </c>
      <c r="G266" s="1">
        <v>3436</v>
      </c>
      <c r="H266" s="2">
        <v>497.43597206053551</v>
      </c>
      <c r="I266" s="1">
        <v>3371</v>
      </c>
      <c r="J266" s="2">
        <v>538.15781667161082</v>
      </c>
    </row>
    <row r="267" spans="1:10" x14ac:dyDescent="0.2">
      <c r="A267" s="5" t="s">
        <v>536</v>
      </c>
      <c r="B267" s="5" t="s">
        <v>537</v>
      </c>
      <c r="C267" s="1">
        <v>1473</v>
      </c>
      <c r="D267" s="2">
        <v>279.82348947725734</v>
      </c>
      <c r="E267" s="1">
        <v>1626</v>
      </c>
      <c r="F267" s="2">
        <v>309.2865928659287</v>
      </c>
      <c r="G267" s="1">
        <v>1855</v>
      </c>
      <c r="H267" s="2">
        <v>358.14555256064688</v>
      </c>
      <c r="I267" s="1">
        <v>1931</v>
      </c>
      <c r="J267" s="2">
        <v>379.26462972553082</v>
      </c>
    </row>
    <row r="268" spans="1:10" x14ac:dyDescent="0.2">
      <c r="A268" s="5" t="s">
        <v>538</v>
      </c>
      <c r="B268" s="5" t="s">
        <v>539</v>
      </c>
      <c r="C268" s="1">
        <v>3224</v>
      </c>
      <c r="D268" s="2">
        <v>373.54528535980148</v>
      </c>
      <c r="E268" s="1">
        <v>3282</v>
      </c>
      <c r="F268" s="2">
        <v>422.83973187081045</v>
      </c>
      <c r="G268" s="1">
        <v>3256</v>
      </c>
      <c r="H268" s="2">
        <v>493.7837837837838</v>
      </c>
      <c r="I268" s="1">
        <v>3386</v>
      </c>
      <c r="J268" s="2">
        <v>608.1157708210277</v>
      </c>
    </row>
    <row r="269" spans="1:10" x14ac:dyDescent="0.2">
      <c r="A269" s="5" t="s">
        <v>540</v>
      </c>
      <c r="B269" s="5" t="s">
        <v>541</v>
      </c>
      <c r="C269" s="1">
        <v>5786</v>
      </c>
      <c r="D269" s="2">
        <v>303.38575872796406</v>
      </c>
      <c r="E269" s="1">
        <v>6100</v>
      </c>
      <c r="F269" s="2">
        <v>340.55573770491804</v>
      </c>
      <c r="G269" s="1">
        <v>6227</v>
      </c>
      <c r="H269" s="2">
        <v>371.42444194636266</v>
      </c>
      <c r="I269" s="1">
        <v>6686</v>
      </c>
      <c r="J269" s="2">
        <v>421.53604546814239</v>
      </c>
    </row>
    <row r="270" spans="1:10" x14ac:dyDescent="0.2">
      <c r="A270" s="5" t="s">
        <v>542</v>
      </c>
      <c r="B270" s="5" t="s">
        <v>543</v>
      </c>
      <c r="C270" s="1">
        <v>1035</v>
      </c>
      <c r="D270" s="2">
        <v>299.65217391304344</v>
      </c>
      <c r="E270" s="1">
        <v>1160</v>
      </c>
      <c r="F270" s="2">
        <v>335.50862068965512</v>
      </c>
      <c r="G270" s="1">
        <v>1247</v>
      </c>
      <c r="H270" s="2">
        <v>368.74899759422613</v>
      </c>
      <c r="I270" s="1">
        <v>1464</v>
      </c>
      <c r="J270" s="2">
        <v>418.10109289617486</v>
      </c>
    </row>
    <row r="271" spans="1:10" x14ac:dyDescent="0.2">
      <c r="A271" s="5" t="s">
        <v>544</v>
      </c>
      <c r="B271" s="5" t="s">
        <v>545</v>
      </c>
      <c r="C271" s="1">
        <v>7148</v>
      </c>
      <c r="D271" s="2">
        <v>378.27364297705651</v>
      </c>
      <c r="E271" s="1">
        <v>7380</v>
      </c>
      <c r="F271" s="2">
        <v>427.9430894308943</v>
      </c>
      <c r="G271" s="1">
        <v>7652</v>
      </c>
      <c r="H271" s="2">
        <v>469.69942498693149</v>
      </c>
      <c r="I271" s="1">
        <v>7970</v>
      </c>
      <c r="J271" s="2">
        <v>504.07653701380184</v>
      </c>
    </row>
    <row r="272" spans="1:10" x14ac:dyDescent="0.2">
      <c r="A272" s="5" t="s">
        <v>546</v>
      </c>
      <c r="B272" s="5" t="s">
        <v>547</v>
      </c>
      <c r="C272" s="1">
        <v>834</v>
      </c>
      <c r="D272" s="2">
        <v>280.05995203836932</v>
      </c>
      <c r="E272" s="1">
        <v>1021</v>
      </c>
      <c r="F272" s="2">
        <v>307.52203721841329</v>
      </c>
      <c r="G272" s="1">
        <v>1232</v>
      </c>
      <c r="H272" s="2">
        <v>317.67857142857144</v>
      </c>
      <c r="I272" s="1">
        <v>1265</v>
      </c>
      <c r="J272" s="2">
        <v>355.84189723320156</v>
      </c>
    </row>
    <row r="273" spans="1:10" x14ac:dyDescent="0.2">
      <c r="A273" s="5" t="s">
        <v>548</v>
      </c>
      <c r="B273" s="5" t="s">
        <v>549</v>
      </c>
      <c r="C273" s="1">
        <v>1349</v>
      </c>
      <c r="D273" s="2">
        <v>406.16011860637508</v>
      </c>
      <c r="E273" s="1">
        <v>1356</v>
      </c>
      <c r="F273" s="2">
        <v>427.61061946902657</v>
      </c>
      <c r="G273" s="1">
        <v>1367</v>
      </c>
      <c r="H273" s="2">
        <v>482.8602779809803</v>
      </c>
      <c r="I273" s="1">
        <v>1363</v>
      </c>
      <c r="J273" s="2">
        <v>512.47248716067497</v>
      </c>
    </row>
    <row r="274" spans="1:10" x14ac:dyDescent="0.2">
      <c r="A274" s="5" t="s">
        <v>550</v>
      </c>
      <c r="B274" s="5" t="s">
        <v>551</v>
      </c>
      <c r="C274" s="1">
        <v>2576</v>
      </c>
      <c r="D274" s="2">
        <v>383.69177018633536</v>
      </c>
      <c r="E274" s="1">
        <v>2421</v>
      </c>
      <c r="F274" s="2">
        <v>452.28418009087159</v>
      </c>
      <c r="G274" s="1">
        <v>2320</v>
      </c>
      <c r="H274" s="2">
        <v>485.01293103448279</v>
      </c>
      <c r="I274" s="1">
        <v>2348</v>
      </c>
      <c r="J274" s="2">
        <v>522.93441226575806</v>
      </c>
    </row>
    <row r="275" spans="1:10" x14ac:dyDescent="0.2">
      <c r="A275" s="5" t="s">
        <v>552</v>
      </c>
      <c r="B275" s="5" t="s">
        <v>553</v>
      </c>
      <c r="C275" s="1">
        <v>1</v>
      </c>
      <c r="D275" s="2">
        <v>350.00000000000006</v>
      </c>
      <c r="E275" s="1">
        <v>1</v>
      </c>
      <c r="F275" s="2">
        <v>450</v>
      </c>
      <c r="G275" s="1">
        <v>2</v>
      </c>
      <c r="H275" s="2">
        <v>500</v>
      </c>
      <c r="I275" s="1">
        <v>2</v>
      </c>
      <c r="J275" s="2">
        <v>260</v>
      </c>
    </row>
    <row r="276" spans="1:10" x14ac:dyDescent="0.2">
      <c r="A276" s="5" t="s">
        <v>554</v>
      </c>
      <c r="B276" s="5" t="s">
        <v>555</v>
      </c>
      <c r="C276" s="1">
        <v>1</v>
      </c>
      <c r="D276" s="2">
        <v>470.00000000000006</v>
      </c>
      <c r="E276" s="1"/>
      <c r="F276" s="2" t="e">
        <v>#DIV/0!</v>
      </c>
      <c r="G276" s="1"/>
      <c r="H276" s="2" t="e">
        <v>#DIV/0!</v>
      </c>
      <c r="I276" s="1">
        <v>1</v>
      </c>
      <c r="J276" s="2">
        <v>540</v>
      </c>
    </row>
    <row r="277" spans="1:10" x14ac:dyDescent="0.2">
      <c r="A277" s="5" t="s">
        <v>556</v>
      </c>
      <c r="B277" s="5" t="s">
        <v>557</v>
      </c>
      <c r="C277" s="1">
        <v>13864</v>
      </c>
      <c r="D277" s="2">
        <v>406.25216387766875</v>
      </c>
      <c r="E277" s="1">
        <v>13658</v>
      </c>
      <c r="F277" s="2">
        <v>441.85751940254795</v>
      </c>
      <c r="G277" s="1">
        <v>13206</v>
      </c>
      <c r="H277" s="2">
        <v>478.94820536119943</v>
      </c>
      <c r="I277" s="1">
        <v>13082</v>
      </c>
      <c r="J277" s="2">
        <v>518.1233756306375</v>
      </c>
    </row>
    <row r="278" spans="1:10" x14ac:dyDescent="0.2">
      <c r="A278" s="5" t="s">
        <v>558</v>
      </c>
      <c r="B278" s="5" t="s">
        <v>559</v>
      </c>
      <c r="C278" s="1">
        <v>978</v>
      </c>
      <c r="D278" s="2">
        <v>342.74028629856849</v>
      </c>
      <c r="E278" s="1">
        <v>1048</v>
      </c>
      <c r="F278" s="2">
        <v>370.70610687022901</v>
      </c>
      <c r="G278" s="1">
        <v>994</v>
      </c>
      <c r="H278" s="2">
        <v>421.86116700201205</v>
      </c>
      <c r="I278" s="1">
        <v>912</v>
      </c>
      <c r="J278" s="2">
        <v>450.40570175438592</v>
      </c>
    </row>
    <row r="279" spans="1:10" x14ac:dyDescent="0.2">
      <c r="A279" s="5" t="s">
        <v>560</v>
      </c>
      <c r="B279" s="5" t="s">
        <v>561</v>
      </c>
      <c r="C279" s="1">
        <v>1583</v>
      </c>
      <c r="D279" s="2">
        <v>352.5457991156033</v>
      </c>
      <c r="E279" s="1">
        <v>1639</v>
      </c>
      <c r="F279" s="2">
        <v>375.60097620500306</v>
      </c>
      <c r="G279" s="1">
        <v>1675</v>
      </c>
      <c r="H279" s="2">
        <v>385.50447761194027</v>
      </c>
      <c r="I279" s="1">
        <v>1681</v>
      </c>
      <c r="J279" s="2">
        <v>478.60202260559186</v>
      </c>
    </row>
    <row r="280" spans="1:10" x14ac:dyDescent="0.2">
      <c r="A280" s="5" t="s">
        <v>562</v>
      </c>
      <c r="B280" s="5" t="s">
        <v>563</v>
      </c>
      <c r="C280" s="1">
        <v>19</v>
      </c>
      <c r="D280" s="2">
        <v>380.5263157894737</v>
      </c>
      <c r="E280" s="1">
        <v>21</v>
      </c>
      <c r="F280" s="2">
        <v>364.76190476190476</v>
      </c>
      <c r="G280" s="1">
        <v>25</v>
      </c>
      <c r="H280" s="2">
        <v>490</v>
      </c>
      <c r="I280" s="1">
        <v>17</v>
      </c>
      <c r="J280" s="2">
        <v>518.82352941176464</v>
      </c>
    </row>
    <row r="281" spans="1:10" x14ac:dyDescent="0.2">
      <c r="A281" s="5" t="s">
        <v>564</v>
      </c>
      <c r="B281" s="5" t="s">
        <v>565</v>
      </c>
      <c r="C281" s="1">
        <v>413</v>
      </c>
      <c r="D281" s="2">
        <v>300.21791767554487</v>
      </c>
      <c r="E281" s="1">
        <v>380</v>
      </c>
      <c r="F281" s="2">
        <v>330.78947368421052</v>
      </c>
      <c r="G281" s="1">
        <v>460</v>
      </c>
      <c r="H281" s="2">
        <v>400.06521739130437</v>
      </c>
      <c r="I281" s="1">
        <v>487</v>
      </c>
      <c r="J281" s="2">
        <v>484.8459958932238</v>
      </c>
    </row>
    <row r="282" spans="1:10" x14ac:dyDescent="0.2">
      <c r="A282" s="5" t="s">
        <v>566</v>
      </c>
      <c r="B282" s="5" t="s">
        <v>567</v>
      </c>
      <c r="C282" s="1">
        <v>454</v>
      </c>
      <c r="D282" s="2">
        <v>292.57709251101329</v>
      </c>
      <c r="E282" s="1">
        <v>462</v>
      </c>
      <c r="F282" s="2">
        <v>316.79653679653677</v>
      </c>
      <c r="G282" s="1">
        <v>447</v>
      </c>
      <c r="H282" s="2">
        <v>357.80760626398211</v>
      </c>
      <c r="I282" s="1">
        <v>459</v>
      </c>
      <c r="J282" s="2">
        <v>431.91721132897601</v>
      </c>
    </row>
    <row r="283" spans="1:10" x14ac:dyDescent="0.2">
      <c r="A283" s="5" t="s">
        <v>568</v>
      </c>
      <c r="B283" s="5" t="s">
        <v>569</v>
      </c>
      <c r="C283" s="1">
        <v>1728</v>
      </c>
      <c r="D283" s="2">
        <v>382.58101851851853</v>
      </c>
      <c r="E283" s="1">
        <v>1635</v>
      </c>
      <c r="F283" s="2">
        <v>414.42201834862385</v>
      </c>
      <c r="G283" s="1">
        <v>1565</v>
      </c>
      <c r="H283" s="2">
        <v>462.71565495207665</v>
      </c>
      <c r="I283" s="1">
        <v>1485</v>
      </c>
      <c r="J283" s="2">
        <v>528.10101010101005</v>
      </c>
    </row>
    <row r="284" spans="1:10" x14ac:dyDescent="0.2">
      <c r="A284" s="5" t="s">
        <v>570</v>
      </c>
      <c r="B284" s="5" t="s">
        <v>571</v>
      </c>
      <c r="C284" s="1">
        <v>599</v>
      </c>
      <c r="D284" s="2">
        <v>486.66110183639398</v>
      </c>
      <c r="E284" s="1">
        <v>548</v>
      </c>
      <c r="F284" s="2">
        <v>527.02554744525537</v>
      </c>
      <c r="G284" s="1">
        <v>536</v>
      </c>
      <c r="H284" s="2">
        <v>575.85820895522386</v>
      </c>
      <c r="I284" s="1">
        <v>493</v>
      </c>
      <c r="J284" s="2">
        <v>602.028397565923</v>
      </c>
    </row>
    <row r="285" spans="1:10" x14ac:dyDescent="0.2">
      <c r="A285" s="5" t="s">
        <v>572</v>
      </c>
      <c r="B285" s="5" t="s">
        <v>573</v>
      </c>
      <c r="C285" s="1">
        <v>18</v>
      </c>
      <c r="D285" s="2">
        <v>195.55555555555557</v>
      </c>
      <c r="E285" s="1">
        <v>19</v>
      </c>
      <c r="F285" s="2">
        <v>232.10526315789474</v>
      </c>
      <c r="G285" s="1">
        <v>19</v>
      </c>
      <c r="H285" s="2">
        <v>227.36842105263159</v>
      </c>
      <c r="I285" s="1">
        <v>19</v>
      </c>
      <c r="J285" s="2">
        <v>348.42105263157896</v>
      </c>
    </row>
    <row r="286" spans="1:10" x14ac:dyDescent="0.2">
      <c r="A286" s="5" t="s">
        <v>574</v>
      </c>
      <c r="B286" s="5" t="s">
        <v>575</v>
      </c>
      <c r="C286" s="1">
        <v>101</v>
      </c>
      <c r="D286" s="2">
        <v>460.59405940594064</v>
      </c>
      <c r="E286" s="1">
        <v>105</v>
      </c>
      <c r="F286" s="2">
        <v>428.47619047619054</v>
      </c>
      <c r="G286" s="1">
        <v>114</v>
      </c>
      <c r="H286" s="2">
        <v>536.75438596491222</v>
      </c>
      <c r="I286" s="1">
        <v>93</v>
      </c>
      <c r="J286" s="2">
        <v>609.78494623655911</v>
      </c>
    </row>
    <row r="287" spans="1:10" x14ac:dyDescent="0.2">
      <c r="A287" s="5" t="s">
        <v>576</v>
      </c>
      <c r="B287" s="5" t="s">
        <v>577</v>
      </c>
      <c r="C287" s="1">
        <v>972</v>
      </c>
      <c r="D287" s="2">
        <v>299.68106995884773</v>
      </c>
      <c r="E287" s="1">
        <v>1046</v>
      </c>
      <c r="F287" s="2">
        <v>320.20076481835565</v>
      </c>
      <c r="G287" s="1">
        <v>1034</v>
      </c>
      <c r="H287" s="2">
        <v>361.35396518375239</v>
      </c>
      <c r="I287" s="1">
        <v>1027</v>
      </c>
      <c r="J287" s="2">
        <v>423.41772151898738</v>
      </c>
    </row>
    <row r="288" spans="1:10" x14ac:dyDescent="0.2">
      <c r="A288" s="5" t="s">
        <v>578</v>
      </c>
      <c r="B288" s="5" t="s">
        <v>579</v>
      </c>
      <c r="C288" s="1">
        <v>2003</v>
      </c>
      <c r="D288" s="2">
        <v>327.2291562656016</v>
      </c>
      <c r="E288" s="1">
        <v>1779</v>
      </c>
      <c r="F288" s="2">
        <v>357.6559865092749</v>
      </c>
      <c r="G288" s="1">
        <v>1750</v>
      </c>
      <c r="H288" s="2">
        <v>401.54857142857145</v>
      </c>
      <c r="I288" s="1">
        <v>1807</v>
      </c>
      <c r="J288" s="2">
        <v>518.21250691754278</v>
      </c>
    </row>
    <row r="289" spans="1:10" x14ac:dyDescent="0.2">
      <c r="A289" s="5" t="s">
        <v>580</v>
      </c>
      <c r="B289" s="5" t="s">
        <v>581</v>
      </c>
      <c r="C289" s="1">
        <v>46</v>
      </c>
      <c r="D289" s="2">
        <v>318.04347826086962</v>
      </c>
      <c r="E289" s="1">
        <v>62</v>
      </c>
      <c r="F289" s="2">
        <v>342.74193548387092</v>
      </c>
      <c r="G289" s="1">
        <v>74</v>
      </c>
      <c r="H289" s="2">
        <v>434.72972972972974</v>
      </c>
      <c r="I289" s="1">
        <v>59</v>
      </c>
      <c r="J289" s="2">
        <v>521.01694915254234</v>
      </c>
    </row>
    <row r="290" spans="1:10" x14ac:dyDescent="0.2">
      <c r="A290" s="5" t="s">
        <v>582</v>
      </c>
      <c r="B290" s="5" t="s">
        <v>583</v>
      </c>
      <c r="C290" s="1">
        <v>68</v>
      </c>
      <c r="D290" s="2">
        <v>132.94117647058826</v>
      </c>
      <c r="E290" s="1">
        <v>73</v>
      </c>
      <c r="F290" s="2">
        <v>149.31506849315068</v>
      </c>
      <c r="G290" s="1">
        <v>73</v>
      </c>
      <c r="H290" s="2">
        <v>175.06849315068496</v>
      </c>
      <c r="I290" s="1">
        <v>59</v>
      </c>
      <c r="J290" s="2">
        <v>277.28813559322037</v>
      </c>
    </row>
    <row r="291" spans="1:10" x14ac:dyDescent="0.2">
      <c r="A291" s="5" t="s">
        <v>584</v>
      </c>
      <c r="B291" s="5" t="s">
        <v>585</v>
      </c>
      <c r="C291" s="1">
        <v>63</v>
      </c>
      <c r="D291" s="2">
        <v>526.03174603174602</v>
      </c>
      <c r="E291" s="1">
        <v>84</v>
      </c>
      <c r="F291" s="2">
        <v>614.04761904761904</v>
      </c>
      <c r="G291" s="1">
        <v>110</v>
      </c>
      <c r="H291" s="2">
        <v>773.18181818181824</v>
      </c>
      <c r="I291" s="1">
        <v>97</v>
      </c>
      <c r="J291" s="2">
        <v>646.39175257731961</v>
      </c>
    </row>
    <row r="292" spans="1:10" x14ac:dyDescent="0.2">
      <c r="A292" s="5" t="s">
        <v>586</v>
      </c>
      <c r="B292" s="5" t="s">
        <v>587</v>
      </c>
      <c r="C292" s="1">
        <v>50</v>
      </c>
      <c r="D292" s="2">
        <v>228</v>
      </c>
      <c r="E292" s="1">
        <v>31</v>
      </c>
      <c r="F292" s="2">
        <v>180.64516129032259</v>
      </c>
      <c r="G292" s="1">
        <v>25</v>
      </c>
      <c r="H292" s="2">
        <v>229.6</v>
      </c>
      <c r="I292" s="1">
        <v>19</v>
      </c>
      <c r="J292" s="2">
        <v>224.21052631578948</v>
      </c>
    </row>
    <row r="293" spans="1:10" x14ac:dyDescent="0.2">
      <c r="A293" s="5" t="s">
        <v>588</v>
      </c>
      <c r="B293" s="5" t="s">
        <v>589</v>
      </c>
      <c r="C293" s="1">
        <v>62</v>
      </c>
      <c r="D293" s="2">
        <v>258.22580645161293</v>
      </c>
      <c r="E293" s="1">
        <v>66</v>
      </c>
      <c r="F293" s="2">
        <v>317.87878787878788</v>
      </c>
      <c r="G293" s="1">
        <v>73</v>
      </c>
      <c r="H293" s="2">
        <v>372.60273972602738</v>
      </c>
      <c r="I293" s="1">
        <v>76</v>
      </c>
      <c r="J293" s="2">
        <v>454.07894736842104</v>
      </c>
    </row>
    <row r="294" spans="1:10" x14ac:dyDescent="0.2">
      <c r="A294" s="5" t="s">
        <v>590</v>
      </c>
      <c r="B294" s="5" t="s">
        <v>591</v>
      </c>
      <c r="C294" s="1">
        <v>100</v>
      </c>
      <c r="D294" s="2">
        <v>342.2</v>
      </c>
      <c r="E294" s="1">
        <v>120</v>
      </c>
      <c r="F294" s="2">
        <v>349.08333333333337</v>
      </c>
      <c r="G294" s="1">
        <v>105</v>
      </c>
      <c r="H294" s="2">
        <v>370.57142857142861</v>
      </c>
      <c r="I294" s="1">
        <v>109</v>
      </c>
      <c r="J294" s="2">
        <v>434.3119266055046</v>
      </c>
    </row>
    <row r="295" spans="1:10" x14ac:dyDescent="0.2">
      <c r="A295" s="5" t="s">
        <v>592</v>
      </c>
      <c r="B295" s="5" t="s">
        <v>593</v>
      </c>
      <c r="C295" s="1">
        <v>172</v>
      </c>
      <c r="D295" s="2">
        <v>281.33720930232556</v>
      </c>
      <c r="E295" s="1">
        <v>152</v>
      </c>
      <c r="F295" s="2">
        <v>374.53947368421052</v>
      </c>
      <c r="G295" s="1">
        <v>157</v>
      </c>
      <c r="H295" s="2">
        <v>361.21019108280257</v>
      </c>
      <c r="I295" s="1">
        <v>178</v>
      </c>
      <c r="J295" s="2">
        <v>442.97752808988764</v>
      </c>
    </row>
    <row r="296" spans="1:10" x14ac:dyDescent="0.2">
      <c r="A296" s="5" t="s">
        <v>594</v>
      </c>
      <c r="B296" s="5" t="s">
        <v>595</v>
      </c>
      <c r="C296" s="1">
        <v>66</v>
      </c>
      <c r="D296" s="2">
        <v>215.60606060606059</v>
      </c>
      <c r="E296" s="1">
        <v>60</v>
      </c>
      <c r="F296" s="2">
        <v>309.5</v>
      </c>
      <c r="G296" s="1">
        <v>47</v>
      </c>
      <c r="H296" s="2">
        <v>323.82978723404256</v>
      </c>
      <c r="I296" s="1">
        <v>47</v>
      </c>
      <c r="J296" s="2">
        <v>383.40425531914889</v>
      </c>
    </row>
    <row r="297" spans="1:10" x14ac:dyDescent="0.2">
      <c r="A297" s="5" t="s">
        <v>596</v>
      </c>
      <c r="B297" s="5" t="s">
        <v>597</v>
      </c>
      <c r="C297" s="1">
        <v>10664</v>
      </c>
      <c r="D297" s="2">
        <v>359.13822205551389</v>
      </c>
      <c r="E297" s="1">
        <v>10871</v>
      </c>
      <c r="F297" s="2">
        <v>377.65154999540056</v>
      </c>
      <c r="G297" s="1">
        <v>11328</v>
      </c>
      <c r="H297" s="2">
        <v>442.39583333333331</v>
      </c>
      <c r="I297" s="1">
        <v>11720</v>
      </c>
      <c r="J297" s="2">
        <v>503.74658703071674</v>
      </c>
    </row>
    <row r="298" spans="1:10" x14ac:dyDescent="0.2">
      <c r="A298" s="5" t="s">
        <v>598</v>
      </c>
      <c r="B298" s="5" t="s">
        <v>599</v>
      </c>
      <c r="C298" s="1">
        <v>1691</v>
      </c>
      <c r="D298" s="2">
        <v>344.57717327025432</v>
      </c>
      <c r="E298" s="1">
        <v>1621</v>
      </c>
      <c r="F298" s="2">
        <v>352.57865515114122</v>
      </c>
      <c r="G298" s="1">
        <v>1582</v>
      </c>
      <c r="H298" s="2">
        <v>423.60303413400754</v>
      </c>
      <c r="I298" s="1">
        <v>1833</v>
      </c>
      <c r="J298" s="2">
        <v>434.80632842334973</v>
      </c>
    </row>
    <row r="299" spans="1:10" x14ac:dyDescent="0.2">
      <c r="A299" s="5" t="s">
        <v>600</v>
      </c>
      <c r="B299" s="5" t="s">
        <v>601</v>
      </c>
      <c r="C299" s="1">
        <v>379</v>
      </c>
      <c r="D299" s="2">
        <v>254.30079155672826</v>
      </c>
      <c r="E299" s="1">
        <v>328</v>
      </c>
      <c r="F299" s="2">
        <v>272.71341463414632</v>
      </c>
      <c r="G299" s="1">
        <v>324</v>
      </c>
      <c r="H299" s="2">
        <v>284.50617283950618</v>
      </c>
      <c r="I299" s="1">
        <v>321</v>
      </c>
      <c r="J299" s="2">
        <v>357.53894080996884</v>
      </c>
    </row>
    <row r="300" spans="1:10" x14ac:dyDescent="0.2">
      <c r="A300" s="5" t="s">
        <v>602</v>
      </c>
      <c r="B300" s="5" t="s">
        <v>603</v>
      </c>
      <c r="C300" s="1">
        <v>4560</v>
      </c>
      <c r="D300" s="2">
        <v>452.59429824561403</v>
      </c>
      <c r="E300" s="1">
        <v>4067</v>
      </c>
      <c r="F300" s="2">
        <v>475.28399311531842</v>
      </c>
      <c r="G300" s="1">
        <v>4094</v>
      </c>
      <c r="H300" s="2">
        <v>570.74499267220324</v>
      </c>
      <c r="I300" s="1">
        <v>4012</v>
      </c>
      <c r="J300" s="2">
        <v>682.52243270189433</v>
      </c>
    </row>
    <row r="301" spans="1:10" x14ac:dyDescent="0.2">
      <c r="A301" s="5" t="s">
        <v>604</v>
      </c>
      <c r="B301" s="5" t="s">
        <v>605</v>
      </c>
      <c r="C301" s="1">
        <v>7578</v>
      </c>
      <c r="D301" s="2">
        <v>424.46951702296121</v>
      </c>
      <c r="E301" s="1">
        <v>7304</v>
      </c>
      <c r="F301" s="2">
        <v>463.74178532311061</v>
      </c>
      <c r="G301" s="1">
        <v>6748</v>
      </c>
      <c r="H301" s="2">
        <v>529.64433906342617</v>
      </c>
      <c r="I301" s="1">
        <v>6430</v>
      </c>
      <c r="J301" s="2">
        <v>613.83670295489901</v>
      </c>
    </row>
    <row r="302" spans="1:10" x14ac:dyDescent="0.2">
      <c r="A302" s="5" t="s">
        <v>606</v>
      </c>
      <c r="B302" s="5" t="s">
        <v>607</v>
      </c>
      <c r="C302" s="1">
        <v>6539</v>
      </c>
      <c r="D302" s="2">
        <v>426.96895549778259</v>
      </c>
      <c r="E302" s="1">
        <v>6860</v>
      </c>
      <c r="F302" s="2">
        <v>439.54227405247815</v>
      </c>
      <c r="G302" s="1">
        <v>7025</v>
      </c>
      <c r="H302" s="2">
        <v>509.10177935943057</v>
      </c>
      <c r="I302" s="1">
        <v>7418</v>
      </c>
      <c r="J302" s="2">
        <v>583.88514424373147</v>
      </c>
    </row>
    <row r="303" spans="1:10" x14ac:dyDescent="0.2">
      <c r="A303" s="5" t="s">
        <v>608</v>
      </c>
      <c r="B303" s="5" t="s">
        <v>609</v>
      </c>
      <c r="C303" s="1">
        <v>1230</v>
      </c>
      <c r="D303" s="2">
        <v>343.8130081300813</v>
      </c>
      <c r="E303" s="1">
        <v>1197</v>
      </c>
      <c r="F303" s="2">
        <v>353.04093567251465</v>
      </c>
      <c r="G303" s="1">
        <v>1116</v>
      </c>
      <c r="H303" s="2">
        <v>408.59318996415772</v>
      </c>
      <c r="I303" s="1">
        <v>1109</v>
      </c>
      <c r="J303" s="2">
        <v>476.72678088367906</v>
      </c>
    </row>
    <row r="304" spans="1:10" x14ac:dyDescent="0.2">
      <c r="A304" s="5" t="s">
        <v>610</v>
      </c>
      <c r="B304" s="5" t="s">
        <v>611</v>
      </c>
      <c r="C304" s="1">
        <v>1927</v>
      </c>
      <c r="D304" s="2">
        <v>345.11676180591593</v>
      </c>
      <c r="E304" s="1">
        <v>1841</v>
      </c>
      <c r="F304" s="2">
        <v>366.85497012493209</v>
      </c>
      <c r="G304" s="1">
        <v>1741</v>
      </c>
      <c r="H304" s="2">
        <v>401.87823090178057</v>
      </c>
      <c r="I304" s="1">
        <v>1821</v>
      </c>
      <c r="J304" s="2">
        <v>486.52937946183414</v>
      </c>
    </row>
    <row r="305" spans="1:10" x14ac:dyDescent="0.2">
      <c r="A305" s="5" t="s">
        <v>612</v>
      </c>
      <c r="B305" s="5" t="s">
        <v>613</v>
      </c>
      <c r="C305" s="1">
        <v>3004</v>
      </c>
      <c r="D305" s="2">
        <v>299.15778961384819</v>
      </c>
      <c r="E305" s="1">
        <v>2853</v>
      </c>
      <c r="F305" s="2">
        <v>336.15492464072912</v>
      </c>
      <c r="G305" s="1">
        <v>2752</v>
      </c>
      <c r="H305" s="2">
        <v>386.74418604651163</v>
      </c>
      <c r="I305" s="1">
        <v>2861</v>
      </c>
      <c r="J305" s="2">
        <v>453.72247465921009</v>
      </c>
    </row>
    <row r="306" spans="1:10" x14ac:dyDescent="0.2">
      <c r="A306" s="5" t="s">
        <v>614</v>
      </c>
      <c r="B306" s="5" t="s">
        <v>615</v>
      </c>
      <c r="C306" s="1">
        <v>1365</v>
      </c>
      <c r="D306" s="2">
        <v>430.98901098901104</v>
      </c>
      <c r="E306" s="1">
        <v>1553</v>
      </c>
      <c r="F306" s="2">
        <v>398.75080489375404</v>
      </c>
      <c r="G306" s="1">
        <v>1497</v>
      </c>
      <c r="H306" s="2">
        <v>439.29191716766871</v>
      </c>
      <c r="I306" s="1">
        <v>1514</v>
      </c>
      <c r="J306" s="2">
        <v>535.48216644649938</v>
      </c>
    </row>
    <row r="307" spans="1:10" x14ac:dyDescent="0.2">
      <c r="A307" s="5" t="s">
        <v>616</v>
      </c>
      <c r="B307" s="5" t="s">
        <v>617</v>
      </c>
      <c r="C307" s="1">
        <v>94</v>
      </c>
      <c r="D307" s="2">
        <v>467.12765957446811</v>
      </c>
      <c r="E307" s="1">
        <v>105</v>
      </c>
      <c r="F307" s="2">
        <v>482.38095238095235</v>
      </c>
      <c r="G307" s="1">
        <v>107</v>
      </c>
      <c r="H307" s="2">
        <v>590.74766355140184</v>
      </c>
      <c r="I307" s="1">
        <v>142</v>
      </c>
      <c r="J307" s="2">
        <v>680.9859154929577</v>
      </c>
    </row>
    <row r="308" spans="1:10" x14ac:dyDescent="0.2">
      <c r="A308" s="5" t="s">
        <v>618</v>
      </c>
      <c r="B308" s="5" t="s">
        <v>619</v>
      </c>
      <c r="C308" s="1">
        <v>5412</v>
      </c>
      <c r="D308" s="2">
        <v>497.92867701404288</v>
      </c>
      <c r="E308" s="1">
        <v>5356</v>
      </c>
      <c r="F308" s="2">
        <v>519.15421956684088</v>
      </c>
      <c r="G308" s="1">
        <v>5179</v>
      </c>
      <c r="H308" s="2">
        <v>564.81753234215103</v>
      </c>
      <c r="I308" s="1">
        <v>5313</v>
      </c>
      <c r="J308" s="2">
        <v>642.71597967250136</v>
      </c>
    </row>
    <row r="309" spans="1:10" x14ac:dyDescent="0.2">
      <c r="A309" s="5" t="s">
        <v>620</v>
      </c>
      <c r="B309" s="5" t="s">
        <v>621</v>
      </c>
      <c r="C309" s="1">
        <v>327</v>
      </c>
      <c r="D309" s="2">
        <v>494.52599388379207</v>
      </c>
      <c r="E309" s="1">
        <v>340</v>
      </c>
      <c r="F309" s="2">
        <v>518.52941176470586</v>
      </c>
      <c r="G309" s="1">
        <v>311</v>
      </c>
      <c r="H309" s="2">
        <v>588.77813504823155</v>
      </c>
      <c r="I309" s="1">
        <v>262</v>
      </c>
      <c r="J309" s="2">
        <v>783.702290076336</v>
      </c>
    </row>
    <row r="310" spans="1:10" x14ac:dyDescent="0.2">
      <c r="A310" s="5" t="s">
        <v>622</v>
      </c>
      <c r="B310" s="5" t="s">
        <v>623</v>
      </c>
      <c r="C310" s="1">
        <v>5171</v>
      </c>
      <c r="D310" s="2">
        <v>402.14852059562952</v>
      </c>
      <c r="E310" s="1">
        <v>5088</v>
      </c>
      <c r="F310" s="2">
        <v>435.68592767295598</v>
      </c>
      <c r="G310" s="1">
        <v>4812</v>
      </c>
      <c r="H310" s="2">
        <v>483.30423940149626</v>
      </c>
      <c r="I310" s="1">
        <v>4394</v>
      </c>
      <c r="J310" s="2">
        <v>586.46563495675923</v>
      </c>
    </row>
    <row r="311" spans="1:10" x14ac:dyDescent="0.2">
      <c r="A311" s="5" t="s">
        <v>624</v>
      </c>
      <c r="B311" s="5" t="s">
        <v>625</v>
      </c>
      <c r="C311" s="1">
        <v>619</v>
      </c>
      <c r="D311" s="2">
        <v>474.9757673667205</v>
      </c>
      <c r="E311" s="1">
        <v>545</v>
      </c>
      <c r="F311" s="2">
        <v>534.71559633027516</v>
      </c>
      <c r="G311" s="1">
        <v>592</v>
      </c>
      <c r="H311" s="2">
        <v>604.20608108108104</v>
      </c>
      <c r="I311" s="1">
        <v>639</v>
      </c>
      <c r="J311" s="2">
        <v>681.06416275430354</v>
      </c>
    </row>
    <row r="312" spans="1:10" x14ac:dyDescent="0.2">
      <c r="A312" s="5" t="s">
        <v>626</v>
      </c>
      <c r="B312" s="5" t="s">
        <v>627</v>
      </c>
      <c r="C312" s="1">
        <v>114</v>
      </c>
      <c r="D312" s="2">
        <v>530.17543859649118</v>
      </c>
      <c r="E312" s="1">
        <v>127</v>
      </c>
      <c r="F312" s="2">
        <v>490.15748031496065</v>
      </c>
      <c r="G312" s="1">
        <v>138</v>
      </c>
      <c r="H312" s="2">
        <v>576.08695652173913</v>
      </c>
      <c r="I312" s="1">
        <v>148</v>
      </c>
      <c r="J312" s="2">
        <v>658.44594594594594</v>
      </c>
    </row>
    <row r="313" spans="1:10" x14ac:dyDescent="0.2">
      <c r="A313" s="5" t="s">
        <v>628</v>
      </c>
      <c r="B313" s="5" t="s">
        <v>629</v>
      </c>
      <c r="C313" s="1">
        <v>210</v>
      </c>
      <c r="D313" s="2">
        <v>576.42857142857144</v>
      </c>
      <c r="E313" s="1">
        <v>202</v>
      </c>
      <c r="F313" s="2">
        <v>587.37623762376245</v>
      </c>
      <c r="G313" s="1">
        <v>207</v>
      </c>
      <c r="H313" s="2">
        <v>598.93719806763295</v>
      </c>
      <c r="I313" s="1">
        <v>213</v>
      </c>
      <c r="J313" s="2">
        <v>690.61032863849755</v>
      </c>
    </row>
    <row r="314" spans="1:10" x14ac:dyDescent="0.2">
      <c r="A314" s="5" t="s">
        <v>630</v>
      </c>
      <c r="B314" s="5" t="s">
        <v>631</v>
      </c>
      <c r="C314" s="1">
        <v>7830</v>
      </c>
      <c r="D314" s="2">
        <v>604.00127713920813</v>
      </c>
      <c r="E314" s="1">
        <v>7726</v>
      </c>
      <c r="F314" s="2">
        <v>623.08050737768576</v>
      </c>
      <c r="G314" s="1">
        <v>7772</v>
      </c>
      <c r="H314" s="2">
        <v>706.23520329387543</v>
      </c>
      <c r="I314" s="1">
        <v>8379</v>
      </c>
      <c r="J314" s="2">
        <v>767.64411027568929</v>
      </c>
    </row>
    <row r="315" spans="1:10" x14ac:dyDescent="0.2">
      <c r="A315" s="5" t="s">
        <v>632</v>
      </c>
      <c r="B315" s="5" t="s">
        <v>633</v>
      </c>
      <c r="C315" s="1">
        <v>739</v>
      </c>
      <c r="D315" s="2">
        <v>493.43707713125849</v>
      </c>
      <c r="E315" s="1">
        <v>725</v>
      </c>
      <c r="F315" s="2">
        <v>519.80689655172421</v>
      </c>
      <c r="G315" s="1">
        <v>762</v>
      </c>
      <c r="H315" s="2">
        <v>569.09448818897647</v>
      </c>
      <c r="I315" s="1">
        <v>705</v>
      </c>
      <c r="J315" s="2">
        <v>599.47517730496463</v>
      </c>
    </row>
    <row r="316" spans="1:10" x14ac:dyDescent="0.2">
      <c r="A316" s="5" t="s">
        <v>634</v>
      </c>
      <c r="B316" s="5" t="s">
        <v>635</v>
      </c>
      <c r="C316" s="1">
        <v>5069</v>
      </c>
      <c r="D316" s="2">
        <v>619.99210889721849</v>
      </c>
      <c r="E316" s="1">
        <v>5009</v>
      </c>
      <c r="F316" s="2">
        <v>600.40527051307652</v>
      </c>
      <c r="G316" s="1">
        <v>5335</v>
      </c>
      <c r="H316" s="2">
        <v>704.43486410496712</v>
      </c>
      <c r="I316" s="1">
        <v>5575</v>
      </c>
      <c r="J316" s="2">
        <v>801.64843049327362</v>
      </c>
    </row>
    <row r="317" spans="1:10" x14ac:dyDescent="0.2">
      <c r="A317" s="5" t="s">
        <v>636</v>
      </c>
      <c r="B317" s="5" t="s">
        <v>637</v>
      </c>
      <c r="C317" s="1">
        <v>75</v>
      </c>
      <c r="D317" s="2">
        <v>1295.7333333333333</v>
      </c>
      <c r="E317" s="1">
        <v>75</v>
      </c>
      <c r="F317" s="2">
        <v>1005.8666666666667</v>
      </c>
      <c r="G317" s="1">
        <v>75</v>
      </c>
      <c r="H317" s="2">
        <v>1048.9333333333332</v>
      </c>
      <c r="I317" s="1">
        <v>90</v>
      </c>
      <c r="J317" s="2">
        <v>1010.1111111111112</v>
      </c>
    </row>
    <row r="318" spans="1:10" x14ac:dyDescent="0.2">
      <c r="A318" s="5" t="s">
        <v>638</v>
      </c>
      <c r="B318" s="5" t="s">
        <v>639</v>
      </c>
      <c r="C318" s="1">
        <v>888</v>
      </c>
      <c r="D318" s="2">
        <v>538.63738738738743</v>
      </c>
      <c r="E318" s="1">
        <v>907</v>
      </c>
      <c r="F318" s="2">
        <v>549.17309812568919</v>
      </c>
      <c r="G318" s="1">
        <v>922</v>
      </c>
      <c r="H318" s="2">
        <v>623.80694143167023</v>
      </c>
      <c r="I318" s="1">
        <v>991</v>
      </c>
      <c r="J318" s="2">
        <v>740.99899091826433</v>
      </c>
    </row>
    <row r="319" spans="1:10" x14ac:dyDescent="0.2">
      <c r="A319" s="5" t="s">
        <v>640</v>
      </c>
      <c r="B319" s="5" t="s">
        <v>641</v>
      </c>
      <c r="C319" s="1">
        <v>5303</v>
      </c>
      <c r="D319" s="2">
        <v>590.42428813878928</v>
      </c>
      <c r="E319" s="1">
        <v>5078</v>
      </c>
      <c r="F319" s="2">
        <v>696.74675068924773</v>
      </c>
      <c r="G319" s="1">
        <v>5070</v>
      </c>
      <c r="H319" s="2">
        <v>721.26429980276134</v>
      </c>
      <c r="I319" s="1">
        <v>5111</v>
      </c>
      <c r="J319" s="2">
        <v>797.37429074545093</v>
      </c>
    </row>
    <row r="320" spans="1:10" x14ac:dyDescent="0.2">
      <c r="A320" s="5" t="s">
        <v>642</v>
      </c>
      <c r="B320" s="5" t="s">
        <v>643</v>
      </c>
      <c r="C320" s="1">
        <v>4210</v>
      </c>
      <c r="D320" s="2">
        <v>613.3064133016627</v>
      </c>
      <c r="E320" s="1">
        <v>4251</v>
      </c>
      <c r="F320" s="2">
        <v>637.11832509997646</v>
      </c>
      <c r="G320" s="1">
        <v>4276</v>
      </c>
      <c r="H320" s="2">
        <v>728.21562207670718</v>
      </c>
      <c r="I320" s="1">
        <v>4337</v>
      </c>
      <c r="J320" s="2">
        <v>822.08669587272311</v>
      </c>
    </row>
    <row r="321" spans="1:10" x14ac:dyDescent="0.2">
      <c r="A321" s="5" t="s">
        <v>644</v>
      </c>
      <c r="B321" s="5" t="s">
        <v>645</v>
      </c>
      <c r="C321" s="1">
        <v>888</v>
      </c>
      <c r="D321" s="2">
        <v>564.42567567567573</v>
      </c>
      <c r="E321" s="1">
        <v>874</v>
      </c>
      <c r="F321" s="2">
        <v>601.81922196796347</v>
      </c>
      <c r="G321" s="1">
        <v>949</v>
      </c>
      <c r="H321" s="2">
        <v>691.57007376185459</v>
      </c>
      <c r="I321" s="1">
        <v>936</v>
      </c>
      <c r="J321" s="2">
        <v>765.99358974358972</v>
      </c>
    </row>
    <row r="322" spans="1:10" x14ac:dyDescent="0.2">
      <c r="A322" s="5" t="s">
        <v>646</v>
      </c>
      <c r="B322" s="5" t="s">
        <v>647</v>
      </c>
      <c r="C322" s="1">
        <v>13115</v>
      </c>
      <c r="D322" s="2">
        <v>457.06976744186051</v>
      </c>
      <c r="E322" s="1">
        <v>12777</v>
      </c>
      <c r="F322" s="2">
        <v>500.36550050872665</v>
      </c>
      <c r="G322" s="1">
        <v>12876</v>
      </c>
      <c r="H322" s="2">
        <v>567.96132339235783</v>
      </c>
      <c r="I322" s="1">
        <v>12811</v>
      </c>
      <c r="J322" s="2">
        <v>656.98228085239248</v>
      </c>
    </row>
    <row r="323" spans="1:10" x14ac:dyDescent="0.2">
      <c r="A323" s="5" t="s">
        <v>648</v>
      </c>
      <c r="B323" s="5" t="s">
        <v>649</v>
      </c>
      <c r="C323" s="1">
        <v>218</v>
      </c>
      <c r="D323" s="2">
        <v>785.13761467889913</v>
      </c>
      <c r="E323" s="1">
        <v>205</v>
      </c>
      <c r="F323" s="2">
        <v>1024.6829268292684</v>
      </c>
      <c r="G323" s="1">
        <v>270</v>
      </c>
      <c r="H323" s="2">
        <v>962.59259259259261</v>
      </c>
      <c r="I323" s="1">
        <v>355</v>
      </c>
      <c r="J323" s="2">
        <v>1163.2957746478874</v>
      </c>
    </row>
    <row r="324" spans="1:10" x14ac:dyDescent="0.2">
      <c r="A324" s="5" t="s">
        <v>650</v>
      </c>
      <c r="B324" s="5" t="s">
        <v>651</v>
      </c>
      <c r="C324" s="1">
        <v>8212</v>
      </c>
      <c r="D324" s="2">
        <v>686.93619094008761</v>
      </c>
      <c r="E324" s="1">
        <v>8102</v>
      </c>
      <c r="F324" s="2">
        <v>715.54677857319166</v>
      </c>
      <c r="G324" s="1">
        <v>7701</v>
      </c>
      <c r="H324" s="2">
        <v>776.50824568237897</v>
      </c>
      <c r="I324" s="1">
        <v>7382</v>
      </c>
      <c r="J324" s="2">
        <v>876.00108371714987</v>
      </c>
    </row>
    <row r="325" spans="1:10" x14ac:dyDescent="0.2">
      <c r="A325" s="5" t="s">
        <v>652</v>
      </c>
      <c r="B325" s="5" t="s">
        <v>653</v>
      </c>
      <c r="C325" s="1">
        <v>54</v>
      </c>
      <c r="D325" s="2">
        <v>374.62962962962962</v>
      </c>
      <c r="E325" s="1">
        <v>59</v>
      </c>
      <c r="F325" s="2">
        <v>380.67796610169489</v>
      </c>
      <c r="G325" s="1">
        <v>50</v>
      </c>
      <c r="H325" s="2">
        <v>488.8</v>
      </c>
      <c r="I325" s="1">
        <v>54</v>
      </c>
      <c r="J325" s="2">
        <v>612.40740740740739</v>
      </c>
    </row>
    <row r="326" spans="1:10" x14ac:dyDescent="0.2">
      <c r="A326" s="5" t="s">
        <v>654</v>
      </c>
      <c r="B326" s="5" t="s">
        <v>655</v>
      </c>
      <c r="C326" s="1">
        <v>120</v>
      </c>
      <c r="D326" s="2">
        <v>436.16666666666669</v>
      </c>
      <c r="E326" s="1">
        <v>119</v>
      </c>
      <c r="F326" s="2">
        <v>538.40336134453787</v>
      </c>
      <c r="G326" s="1">
        <v>111</v>
      </c>
      <c r="H326" s="2">
        <v>509.90990990990991</v>
      </c>
      <c r="I326" s="1">
        <v>101</v>
      </c>
      <c r="J326" s="2">
        <v>543.66336633663366</v>
      </c>
    </row>
    <row r="327" spans="1:10" x14ac:dyDescent="0.2">
      <c r="A327" s="5" t="s">
        <v>656</v>
      </c>
      <c r="B327" s="5" t="s">
        <v>657</v>
      </c>
      <c r="C327" s="1">
        <v>86</v>
      </c>
      <c r="D327" s="2">
        <v>349.18604651162792</v>
      </c>
      <c r="E327" s="1">
        <v>85</v>
      </c>
      <c r="F327" s="2">
        <v>406.11764705882359</v>
      </c>
      <c r="G327" s="1">
        <v>89</v>
      </c>
      <c r="H327" s="2">
        <v>436.29213483146066</v>
      </c>
      <c r="I327" s="1">
        <v>86</v>
      </c>
      <c r="J327" s="2">
        <v>491.16279069767444</v>
      </c>
    </row>
    <row r="328" spans="1:10" x14ac:dyDescent="0.2">
      <c r="A328" s="5" t="s">
        <v>658</v>
      </c>
      <c r="B328" s="5" t="s">
        <v>659</v>
      </c>
      <c r="C328" s="1">
        <v>668</v>
      </c>
      <c r="D328" s="2">
        <v>411.55688622754496</v>
      </c>
      <c r="E328" s="1">
        <v>721</v>
      </c>
      <c r="F328" s="2">
        <v>403.31484049930657</v>
      </c>
      <c r="G328" s="1">
        <v>659</v>
      </c>
      <c r="H328" s="2">
        <v>425.26555386949929</v>
      </c>
      <c r="I328" s="1">
        <v>590</v>
      </c>
      <c r="J328" s="2">
        <v>484.88135593220341</v>
      </c>
    </row>
    <row r="329" spans="1:10" x14ac:dyDescent="0.2">
      <c r="A329" s="5" t="s">
        <v>660</v>
      </c>
      <c r="B329" s="5" t="s">
        <v>661</v>
      </c>
      <c r="C329" s="1">
        <v>407</v>
      </c>
      <c r="D329" s="2">
        <v>287.00245700245705</v>
      </c>
      <c r="E329" s="1">
        <v>391</v>
      </c>
      <c r="F329" s="2">
        <v>332.73657289002557</v>
      </c>
      <c r="G329" s="1">
        <v>411</v>
      </c>
      <c r="H329" s="2">
        <v>374.13625304136258</v>
      </c>
      <c r="I329" s="1">
        <v>349</v>
      </c>
      <c r="J329" s="2"/>
    </row>
    <row r="330" spans="1:10" x14ac:dyDescent="0.2">
      <c r="A330" s="5" t="s">
        <v>662</v>
      </c>
      <c r="B330" s="5" t="s">
        <v>663</v>
      </c>
      <c r="C330" s="1">
        <v>163</v>
      </c>
      <c r="D330" s="2">
        <v>598.65030674846616</v>
      </c>
      <c r="E330" s="1">
        <v>158</v>
      </c>
      <c r="F330" s="2">
        <v>554.36708860759495</v>
      </c>
      <c r="G330" s="1">
        <v>151</v>
      </c>
      <c r="H330" s="2">
        <v>665.16556291390725</v>
      </c>
      <c r="I330" s="1">
        <v>154</v>
      </c>
      <c r="J330" s="2">
        <v>742.27272727272725</v>
      </c>
    </row>
    <row r="331" spans="1:10" x14ac:dyDescent="0.2">
      <c r="A331" s="5" t="s">
        <v>664</v>
      </c>
      <c r="B331" s="5" t="s">
        <v>665</v>
      </c>
      <c r="C331" s="1">
        <v>271</v>
      </c>
      <c r="D331" s="2">
        <v>417.93357933579341</v>
      </c>
      <c r="E331" s="1">
        <v>272</v>
      </c>
      <c r="F331" s="2">
        <v>425.73529411764707</v>
      </c>
      <c r="G331" s="1">
        <v>261</v>
      </c>
      <c r="H331" s="2">
        <v>474.13793103448279</v>
      </c>
      <c r="I331" s="1">
        <v>280</v>
      </c>
      <c r="J331" s="2">
        <v>561.71428571428567</v>
      </c>
    </row>
    <row r="332" spans="1:10" x14ac:dyDescent="0.2">
      <c r="A332" s="5" t="s">
        <v>666</v>
      </c>
      <c r="B332" s="5" t="s">
        <v>667</v>
      </c>
      <c r="C332" s="1">
        <v>244</v>
      </c>
      <c r="D332" s="2">
        <v>295.20491803278685</v>
      </c>
      <c r="E332" s="1">
        <v>247</v>
      </c>
      <c r="F332" s="2">
        <v>343.40080971659921</v>
      </c>
      <c r="G332" s="1">
        <v>218</v>
      </c>
      <c r="H332" s="2">
        <v>397.24770642201838</v>
      </c>
      <c r="I332" s="1">
        <v>203</v>
      </c>
      <c r="J332" s="2">
        <v>449.95073891625617</v>
      </c>
    </row>
    <row r="333" spans="1:10" x14ac:dyDescent="0.2">
      <c r="A333" s="5" t="s">
        <v>668</v>
      </c>
      <c r="B333" s="5" t="s">
        <v>669</v>
      </c>
      <c r="C333" s="1">
        <v>1681</v>
      </c>
      <c r="D333" s="2">
        <v>500.25580011897688</v>
      </c>
      <c r="E333" s="1">
        <v>1789</v>
      </c>
      <c r="F333" s="2">
        <v>495.77976523197322</v>
      </c>
      <c r="G333" s="1">
        <v>1782</v>
      </c>
      <c r="H333" s="2">
        <v>562.63748597081928</v>
      </c>
      <c r="I333" s="1">
        <v>1684</v>
      </c>
      <c r="J333" s="2">
        <v>648.54513064133027</v>
      </c>
    </row>
    <row r="334" spans="1:10" x14ac:dyDescent="0.2">
      <c r="A334" s="5" t="s">
        <v>670</v>
      </c>
      <c r="B334" s="5" t="s">
        <v>671</v>
      </c>
      <c r="C334" s="1">
        <v>691</v>
      </c>
      <c r="D334" s="2">
        <v>324.86251808972503</v>
      </c>
      <c r="E334" s="1">
        <v>711</v>
      </c>
      <c r="F334" s="2">
        <v>350.99859353023908</v>
      </c>
      <c r="G334" s="1">
        <v>688</v>
      </c>
      <c r="H334" s="2">
        <v>378.18313953488371</v>
      </c>
      <c r="I334" s="1">
        <v>655</v>
      </c>
      <c r="J334" s="2">
        <v>421.19083969465646</v>
      </c>
    </row>
    <row r="335" spans="1:10" x14ac:dyDescent="0.2">
      <c r="A335" s="5" t="s">
        <v>672</v>
      </c>
      <c r="B335" s="5" t="s">
        <v>673</v>
      </c>
      <c r="C335" s="1">
        <v>328</v>
      </c>
      <c r="D335" s="2">
        <v>563.75</v>
      </c>
      <c r="E335" s="1">
        <v>361</v>
      </c>
      <c r="F335" s="2">
        <v>569.83379501385048</v>
      </c>
      <c r="G335" s="1">
        <v>385</v>
      </c>
      <c r="H335" s="2">
        <v>702.98701298701292</v>
      </c>
      <c r="I335" s="1">
        <v>383</v>
      </c>
      <c r="J335" s="2">
        <v>684.5430809399478</v>
      </c>
    </row>
    <row r="336" spans="1:10" x14ac:dyDescent="0.2">
      <c r="A336" s="5" t="s">
        <v>674</v>
      </c>
      <c r="B336" s="5" t="s">
        <v>675</v>
      </c>
      <c r="C336" s="1">
        <v>1325</v>
      </c>
      <c r="D336" s="2">
        <v>687.55471698113206</v>
      </c>
      <c r="E336" s="1">
        <v>1303</v>
      </c>
      <c r="F336" s="2">
        <v>732.11818879508826</v>
      </c>
      <c r="G336" s="1">
        <v>1371</v>
      </c>
      <c r="H336" s="2">
        <v>786.87089715536104</v>
      </c>
      <c r="I336" s="1">
        <v>1368</v>
      </c>
      <c r="J336" s="2">
        <v>866.89327485380113</v>
      </c>
    </row>
    <row r="337" spans="1:10" x14ac:dyDescent="0.2">
      <c r="A337" s="5" t="s">
        <v>676</v>
      </c>
      <c r="B337" s="5" t="s">
        <v>677</v>
      </c>
      <c r="C337" s="1">
        <v>663</v>
      </c>
      <c r="D337" s="2">
        <v>460.5128205128205</v>
      </c>
      <c r="E337" s="1">
        <v>691</v>
      </c>
      <c r="F337" s="2">
        <v>485.41244573082491</v>
      </c>
      <c r="G337" s="1">
        <v>745</v>
      </c>
      <c r="H337" s="2">
        <v>549.744966442953</v>
      </c>
      <c r="I337" s="1">
        <v>723</v>
      </c>
      <c r="J337" s="2">
        <v>627.57952973720614</v>
      </c>
    </row>
    <row r="338" spans="1:10" x14ac:dyDescent="0.2">
      <c r="A338" s="5" t="s">
        <v>678</v>
      </c>
      <c r="B338" s="5" t="s">
        <v>679</v>
      </c>
      <c r="C338" s="1">
        <v>5153</v>
      </c>
      <c r="D338" s="2">
        <v>448.01862992431592</v>
      </c>
      <c r="E338" s="1">
        <v>5438</v>
      </c>
      <c r="F338" s="2">
        <v>474.46303788157411</v>
      </c>
      <c r="G338" s="1">
        <v>5284</v>
      </c>
      <c r="H338" s="2">
        <v>551.40613171839516</v>
      </c>
      <c r="I338" s="1">
        <v>5253</v>
      </c>
      <c r="J338" s="2">
        <v>579.77917380544454</v>
      </c>
    </row>
    <row r="339" spans="1:10" x14ac:dyDescent="0.2">
      <c r="A339" s="5" t="s">
        <v>680</v>
      </c>
      <c r="B339" s="5" t="s">
        <v>681</v>
      </c>
      <c r="C339" s="1">
        <v>6872</v>
      </c>
      <c r="D339" s="2">
        <v>663.3789289871944</v>
      </c>
      <c r="E339" s="1">
        <v>6648</v>
      </c>
      <c r="F339" s="2">
        <v>662.95728038507832</v>
      </c>
      <c r="G339" s="1">
        <v>6635</v>
      </c>
      <c r="H339" s="2">
        <v>733.22682743029384</v>
      </c>
      <c r="I339" s="1">
        <v>6737</v>
      </c>
      <c r="J339" s="2">
        <v>823.14680124684583</v>
      </c>
    </row>
    <row r="340" spans="1:10" x14ac:dyDescent="0.2">
      <c r="A340" s="5" t="s">
        <v>682</v>
      </c>
      <c r="B340" s="5" t="s">
        <v>683</v>
      </c>
      <c r="C340" s="1">
        <v>1104</v>
      </c>
      <c r="D340" s="2">
        <v>570.31702898550725</v>
      </c>
      <c r="E340" s="1">
        <v>1100</v>
      </c>
      <c r="F340" s="2">
        <v>547.62727272727273</v>
      </c>
      <c r="G340" s="1">
        <v>1122</v>
      </c>
      <c r="H340" s="2">
        <v>641.63992869875221</v>
      </c>
      <c r="I340" s="1">
        <v>1167</v>
      </c>
      <c r="J340" s="2">
        <v>734.37017994858616</v>
      </c>
    </row>
    <row r="341" spans="1:10" x14ac:dyDescent="0.2">
      <c r="A341" s="5" t="s">
        <v>684</v>
      </c>
      <c r="B341" s="5" t="s">
        <v>685</v>
      </c>
      <c r="C341" s="1">
        <v>1622</v>
      </c>
      <c r="D341" s="2">
        <v>611.75092478421698</v>
      </c>
      <c r="E341" s="1">
        <v>1684</v>
      </c>
      <c r="F341" s="2">
        <v>634.13895486935883</v>
      </c>
      <c r="G341" s="1">
        <v>1740</v>
      </c>
      <c r="H341" s="2">
        <v>680.10344827586209</v>
      </c>
      <c r="I341" s="1">
        <v>1885</v>
      </c>
      <c r="J341" s="2">
        <v>754.1644562334219</v>
      </c>
    </row>
    <row r="342" spans="1:10" x14ac:dyDescent="0.2">
      <c r="A342" s="5" t="s">
        <v>686</v>
      </c>
      <c r="B342" s="5" t="s">
        <v>687</v>
      </c>
      <c r="C342" s="1">
        <v>1106</v>
      </c>
      <c r="D342" s="2">
        <v>670.07233273056056</v>
      </c>
      <c r="E342" s="1">
        <v>1007</v>
      </c>
      <c r="F342" s="2">
        <v>723.17775571002983</v>
      </c>
      <c r="G342" s="1">
        <v>987</v>
      </c>
      <c r="H342" s="2">
        <v>719.08814589665656</v>
      </c>
      <c r="I342" s="1">
        <v>998</v>
      </c>
      <c r="J342" s="2">
        <v>799.35871743486973</v>
      </c>
    </row>
    <row r="343" spans="1:10" x14ac:dyDescent="0.2">
      <c r="A343" s="5" t="s">
        <v>688</v>
      </c>
      <c r="B343" s="5" t="s">
        <v>689</v>
      </c>
      <c r="C343" s="1">
        <v>7007</v>
      </c>
      <c r="D343" s="2">
        <v>456.58341658341664</v>
      </c>
      <c r="E343" s="1">
        <v>7158</v>
      </c>
      <c r="F343" s="2">
        <v>477.97708857222688</v>
      </c>
      <c r="G343" s="1">
        <v>6991</v>
      </c>
      <c r="H343" s="2">
        <v>511.77656987555429</v>
      </c>
      <c r="I343" s="1">
        <v>6927</v>
      </c>
      <c r="J343" s="2">
        <v>595.00360906597371</v>
      </c>
    </row>
    <row r="344" spans="1:10" x14ac:dyDescent="0.2">
      <c r="A344" s="5" t="s">
        <v>690</v>
      </c>
      <c r="B344" s="5" t="s">
        <v>691</v>
      </c>
      <c r="C344" s="1">
        <v>9015</v>
      </c>
      <c r="D344" s="2">
        <v>376.18080976150856</v>
      </c>
      <c r="E344" s="1">
        <v>9000</v>
      </c>
      <c r="F344" s="2">
        <v>418.37333333333339</v>
      </c>
      <c r="G344" s="1">
        <v>8837</v>
      </c>
      <c r="H344" s="2">
        <v>459.5168043453661</v>
      </c>
      <c r="I344" s="1">
        <v>8767</v>
      </c>
      <c r="J344" s="2">
        <v>514.02874415421468</v>
      </c>
    </row>
    <row r="345" spans="1:10" x14ac:dyDescent="0.2">
      <c r="A345" s="5" t="s">
        <v>692</v>
      </c>
      <c r="B345" s="5" t="s">
        <v>693</v>
      </c>
      <c r="C345" s="1">
        <v>1912</v>
      </c>
      <c r="D345" s="2">
        <v>428.90167364016742</v>
      </c>
      <c r="E345" s="1">
        <v>1951</v>
      </c>
      <c r="F345" s="2">
        <v>466.71450538185547</v>
      </c>
      <c r="G345" s="1">
        <v>1850</v>
      </c>
      <c r="H345" s="2">
        <v>524.52972972972975</v>
      </c>
      <c r="I345" s="1">
        <v>1815</v>
      </c>
      <c r="J345" s="2">
        <v>609.73002754820936</v>
      </c>
    </row>
    <row r="346" spans="1:10" x14ac:dyDescent="0.2">
      <c r="A346" s="5" t="s">
        <v>694</v>
      </c>
      <c r="B346" s="5" t="s">
        <v>695</v>
      </c>
      <c r="C346" s="1">
        <v>206</v>
      </c>
      <c r="D346" s="2">
        <v>388.30097087378641</v>
      </c>
      <c r="E346" s="1">
        <v>186</v>
      </c>
      <c r="F346" s="2">
        <v>415.05376344086028</v>
      </c>
      <c r="G346" s="1">
        <v>162</v>
      </c>
      <c r="H346" s="2">
        <v>527.40740740740739</v>
      </c>
      <c r="I346" s="1">
        <v>169</v>
      </c>
      <c r="J346" s="2">
        <v>603.01775147928993</v>
      </c>
    </row>
    <row r="347" spans="1:10" x14ac:dyDescent="0.2">
      <c r="A347" s="5" t="s">
        <v>696</v>
      </c>
      <c r="B347" s="5" t="s">
        <v>697</v>
      </c>
      <c r="C347" s="1">
        <v>442</v>
      </c>
      <c r="D347" s="2">
        <v>370.13574660633481</v>
      </c>
      <c r="E347" s="1">
        <v>483</v>
      </c>
      <c r="F347" s="2">
        <v>414.28571428571428</v>
      </c>
      <c r="G347" s="1">
        <v>492</v>
      </c>
      <c r="H347" s="2">
        <v>474.1869918699187</v>
      </c>
      <c r="I347" s="1">
        <v>473</v>
      </c>
      <c r="J347" s="2">
        <v>526.74418604651169</v>
      </c>
    </row>
    <row r="348" spans="1:10" x14ac:dyDescent="0.2">
      <c r="A348" s="5" t="s">
        <v>698</v>
      </c>
      <c r="B348" s="5" t="s">
        <v>699</v>
      </c>
      <c r="C348" s="1">
        <v>169</v>
      </c>
      <c r="D348" s="2">
        <v>227.57396449704143</v>
      </c>
      <c r="E348" s="1">
        <v>246</v>
      </c>
      <c r="F348" s="2">
        <v>288.73983739837399</v>
      </c>
      <c r="G348" s="1">
        <v>177</v>
      </c>
      <c r="H348" s="2">
        <v>276.83615819209041</v>
      </c>
      <c r="I348" s="1">
        <v>149</v>
      </c>
      <c r="J348" s="2">
        <v>391.61073825503354</v>
      </c>
    </row>
    <row r="349" spans="1:10" x14ac:dyDescent="0.2">
      <c r="A349" s="5" t="s">
        <v>700</v>
      </c>
      <c r="B349" s="5" t="s">
        <v>701</v>
      </c>
      <c r="C349" s="1">
        <v>2349</v>
      </c>
      <c r="D349" s="2">
        <v>404.81907194550877</v>
      </c>
      <c r="E349" s="1">
        <v>2377</v>
      </c>
      <c r="F349" s="2">
        <v>443.76104333193098</v>
      </c>
      <c r="G349" s="1">
        <v>2335</v>
      </c>
      <c r="H349" s="2">
        <v>518.16702355460382</v>
      </c>
      <c r="I349" s="1">
        <v>2467</v>
      </c>
      <c r="J349" s="2">
        <v>570.01621402513172</v>
      </c>
    </row>
    <row r="350" spans="1:10" x14ac:dyDescent="0.2">
      <c r="A350" s="5" t="s">
        <v>702</v>
      </c>
      <c r="B350" s="5" t="s">
        <v>703</v>
      </c>
      <c r="C350" s="1">
        <v>5770</v>
      </c>
      <c r="D350" s="2">
        <v>431.14904679376082</v>
      </c>
      <c r="E350" s="1">
        <v>6210</v>
      </c>
      <c r="F350" s="2">
        <v>457.64090177133659</v>
      </c>
      <c r="G350" s="1">
        <v>6298</v>
      </c>
      <c r="H350" s="2">
        <v>519.89044140997146</v>
      </c>
      <c r="I350" s="1">
        <v>6246</v>
      </c>
      <c r="J350" s="2">
        <v>597.76016650656425</v>
      </c>
    </row>
    <row r="351" spans="1:10" x14ac:dyDescent="0.2">
      <c r="A351" s="5" t="s">
        <v>704</v>
      </c>
      <c r="B351" s="5" t="s">
        <v>705</v>
      </c>
      <c r="C351" s="1">
        <v>3776</v>
      </c>
      <c r="D351" s="2">
        <v>504.60010593220341</v>
      </c>
      <c r="E351" s="1">
        <v>3823</v>
      </c>
      <c r="F351" s="2">
        <v>522.40910279884906</v>
      </c>
      <c r="G351" s="1">
        <v>3870</v>
      </c>
      <c r="H351" s="2">
        <v>607.01550387596899</v>
      </c>
      <c r="I351" s="1">
        <v>3946</v>
      </c>
      <c r="J351" s="2">
        <v>669.27014698428786</v>
      </c>
    </row>
    <row r="352" spans="1:10" x14ac:dyDescent="0.2">
      <c r="A352" s="5" t="s">
        <v>706</v>
      </c>
      <c r="B352" s="5" t="s">
        <v>707</v>
      </c>
      <c r="C352" s="1">
        <v>10726</v>
      </c>
      <c r="D352" s="2">
        <v>348.18385232146187</v>
      </c>
      <c r="E352" s="1">
        <v>10458</v>
      </c>
      <c r="F352" s="2">
        <v>379.39759036144585</v>
      </c>
      <c r="G352" s="1">
        <v>10164</v>
      </c>
      <c r="H352" s="2">
        <v>438.2369146005509</v>
      </c>
      <c r="I352" s="1">
        <v>10058</v>
      </c>
      <c r="J352" s="2">
        <v>487.67747067011334</v>
      </c>
    </row>
    <row r="353" spans="1:10" x14ac:dyDescent="0.2">
      <c r="A353" s="5" t="s">
        <v>708</v>
      </c>
      <c r="B353" s="5" t="s">
        <v>709</v>
      </c>
      <c r="C353" s="1">
        <v>1638</v>
      </c>
      <c r="D353" s="2">
        <v>450.75091575091574</v>
      </c>
      <c r="E353" s="1">
        <v>1575</v>
      </c>
      <c r="F353" s="2">
        <v>484.89523809523808</v>
      </c>
      <c r="G353" s="1">
        <v>1596</v>
      </c>
      <c r="H353" s="2">
        <v>545.76441102756894</v>
      </c>
      <c r="I353" s="1">
        <v>1540</v>
      </c>
      <c r="J353" s="2">
        <v>615.86363636363637</v>
      </c>
    </row>
    <row r="354" spans="1:10" x14ac:dyDescent="0.2">
      <c r="A354" s="5" t="s">
        <v>710</v>
      </c>
      <c r="B354" s="5" t="s">
        <v>711</v>
      </c>
      <c r="C354" s="1">
        <v>1125</v>
      </c>
      <c r="D354" s="2">
        <v>419.0844444444445</v>
      </c>
      <c r="E354" s="1">
        <v>1132</v>
      </c>
      <c r="F354" s="2">
        <v>429.5494699646643</v>
      </c>
      <c r="G354" s="1">
        <v>1111</v>
      </c>
      <c r="H354" s="2">
        <v>505.79657965796588</v>
      </c>
      <c r="I354" s="1">
        <v>1072</v>
      </c>
      <c r="J354" s="2">
        <v>616.53917910447763</v>
      </c>
    </row>
    <row r="355" spans="1:10" x14ac:dyDescent="0.2">
      <c r="A355" s="5" t="s">
        <v>712</v>
      </c>
      <c r="B355" s="5" t="s">
        <v>713</v>
      </c>
      <c r="C355" s="1">
        <v>1193</v>
      </c>
      <c r="D355" s="2">
        <v>449.0695725062867</v>
      </c>
      <c r="E355" s="1">
        <v>1291</v>
      </c>
      <c r="F355" s="2">
        <v>475.84817970565456</v>
      </c>
      <c r="G355" s="1">
        <v>1291</v>
      </c>
      <c r="H355" s="2">
        <v>586.98683191324562</v>
      </c>
      <c r="I355" s="1">
        <v>1308</v>
      </c>
      <c r="J355" s="2">
        <v>718.61620795107035</v>
      </c>
    </row>
    <row r="356" spans="1:10" x14ac:dyDescent="0.2">
      <c r="A356" s="5" t="s">
        <v>714</v>
      </c>
      <c r="B356" s="5" t="s">
        <v>715</v>
      </c>
      <c r="C356" s="1">
        <v>58</v>
      </c>
      <c r="D356" s="2">
        <v>481.89655172413791</v>
      </c>
      <c r="E356" s="1">
        <v>60</v>
      </c>
      <c r="F356" s="2">
        <v>452.16666666666669</v>
      </c>
      <c r="G356" s="1">
        <v>68</v>
      </c>
      <c r="H356" s="2">
        <v>512.20588235294122</v>
      </c>
      <c r="I356" s="1">
        <v>83</v>
      </c>
      <c r="J356" s="2">
        <v>579.39759036144574</v>
      </c>
    </row>
    <row r="357" spans="1:10" x14ac:dyDescent="0.2">
      <c r="A357" s="5" t="s">
        <v>716</v>
      </c>
      <c r="B357" s="5" t="s">
        <v>717</v>
      </c>
      <c r="C357" s="1">
        <v>429</v>
      </c>
      <c r="D357" s="2">
        <v>446.01398601398603</v>
      </c>
      <c r="E357" s="1">
        <v>406</v>
      </c>
      <c r="F357" s="2">
        <v>481.08374384236453</v>
      </c>
      <c r="G357" s="1">
        <v>378</v>
      </c>
      <c r="H357" s="2">
        <v>518.51851851851848</v>
      </c>
      <c r="I357" s="1">
        <v>386</v>
      </c>
      <c r="J357" s="2">
        <v>656.81347150259069</v>
      </c>
    </row>
    <row r="358" spans="1:10" x14ac:dyDescent="0.2">
      <c r="A358" s="5" t="s">
        <v>718</v>
      </c>
      <c r="B358" s="5" t="s">
        <v>719</v>
      </c>
      <c r="C358" s="1">
        <v>35</v>
      </c>
      <c r="D358" s="2">
        <v>821.14285714285722</v>
      </c>
      <c r="E358" s="1">
        <v>36</v>
      </c>
      <c r="F358" s="2">
        <v>930.83333333333326</v>
      </c>
      <c r="G358" s="1">
        <v>35</v>
      </c>
      <c r="H358" s="2">
        <v>1026.8571428571427</v>
      </c>
      <c r="I358" s="1">
        <v>36</v>
      </c>
      <c r="J358" s="2">
        <v>1449.7222222222222</v>
      </c>
    </row>
    <row r="359" spans="1:10" x14ac:dyDescent="0.2">
      <c r="A359" s="5" t="s">
        <v>720</v>
      </c>
      <c r="B359" s="5" t="s">
        <v>721</v>
      </c>
      <c r="C359" s="1">
        <v>29</v>
      </c>
      <c r="D359" s="2">
        <v>366.5517241379311</v>
      </c>
      <c r="E359" s="1">
        <v>30</v>
      </c>
      <c r="F359" s="2">
        <v>494.33333333333337</v>
      </c>
      <c r="G359" s="1">
        <v>30</v>
      </c>
      <c r="H359" s="2">
        <v>555.99999999999989</v>
      </c>
      <c r="I359" s="1">
        <v>27</v>
      </c>
      <c r="J359" s="2">
        <v>572.22222222222229</v>
      </c>
    </row>
    <row r="360" spans="1:10" x14ac:dyDescent="0.2">
      <c r="A360" s="5" t="s">
        <v>722</v>
      </c>
      <c r="B360" s="5" t="s">
        <v>723</v>
      </c>
      <c r="C360" s="1">
        <v>2057</v>
      </c>
      <c r="D360" s="2">
        <v>528.55614973262038</v>
      </c>
      <c r="E360" s="1">
        <v>2112</v>
      </c>
      <c r="F360" s="2">
        <v>581.20738636363637</v>
      </c>
      <c r="G360" s="1">
        <v>2121</v>
      </c>
      <c r="H360" s="2">
        <v>637.35973597359725</v>
      </c>
      <c r="I360" s="1">
        <v>2145</v>
      </c>
      <c r="J360" s="2">
        <v>719.7296037296037</v>
      </c>
    </row>
    <row r="361" spans="1:10" x14ac:dyDescent="0.2">
      <c r="A361" s="5" t="s">
        <v>724</v>
      </c>
      <c r="B361" s="5" t="s">
        <v>725</v>
      </c>
      <c r="C361" s="1">
        <v>96</v>
      </c>
      <c r="D361" s="2">
        <v>721.87499999999989</v>
      </c>
      <c r="E361" s="1">
        <v>105</v>
      </c>
      <c r="F361" s="2">
        <v>834.76190476190482</v>
      </c>
      <c r="G361" s="1">
        <v>103</v>
      </c>
      <c r="H361" s="2">
        <v>715.82524271844659</v>
      </c>
      <c r="I361" s="1">
        <v>103</v>
      </c>
      <c r="J361" s="2">
        <v>698.73786407766988</v>
      </c>
    </row>
    <row r="362" spans="1:10" x14ac:dyDescent="0.2">
      <c r="A362" s="5" t="s">
        <v>726</v>
      </c>
      <c r="B362" s="5" t="s">
        <v>727</v>
      </c>
      <c r="C362" s="1">
        <v>2344</v>
      </c>
      <c r="D362" s="2">
        <v>426.62116040955635</v>
      </c>
      <c r="E362" s="1">
        <v>2308</v>
      </c>
      <c r="F362" s="2">
        <v>431.71577123050258</v>
      </c>
      <c r="G362" s="1">
        <v>2461</v>
      </c>
      <c r="H362" s="2">
        <v>499.0288500609509</v>
      </c>
      <c r="I362" s="1">
        <v>2669</v>
      </c>
      <c r="J362" s="2">
        <v>560.59947545897342</v>
      </c>
    </row>
    <row r="363" spans="1:10" x14ac:dyDescent="0.2">
      <c r="A363" s="5" t="s">
        <v>728</v>
      </c>
      <c r="B363" s="5" t="s">
        <v>729</v>
      </c>
      <c r="C363" s="1">
        <v>73</v>
      </c>
      <c r="D363" s="2">
        <v>452.73972602739718</v>
      </c>
      <c r="E363" s="1">
        <v>59</v>
      </c>
      <c r="F363" s="2">
        <v>532.54237288135596</v>
      </c>
      <c r="G363" s="1">
        <v>72</v>
      </c>
      <c r="H363" s="2">
        <v>573.05555555555554</v>
      </c>
      <c r="I363" s="1">
        <v>76</v>
      </c>
      <c r="J363" s="2">
        <v>698.5526315789474</v>
      </c>
    </row>
    <row r="364" spans="1:10" x14ac:dyDescent="0.2">
      <c r="A364" s="5" t="s">
        <v>730</v>
      </c>
      <c r="B364" s="5" t="s">
        <v>731</v>
      </c>
      <c r="C364" s="1">
        <v>78</v>
      </c>
      <c r="D364" s="2">
        <v>570.64102564102564</v>
      </c>
      <c r="E364" s="1">
        <v>77</v>
      </c>
      <c r="F364" s="2">
        <v>714.54545454545462</v>
      </c>
      <c r="G364" s="1">
        <v>74</v>
      </c>
      <c r="H364" s="2">
        <v>711.21621621621625</v>
      </c>
      <c r="I364" s="1">
        <v>76</v>
      </c>
      <c r="J364" s="2">
        <v>847.10526315789468</v>
      </c>
    </row>
    <row r="365" spans="1:10" x14ac:dyDescent="0.2">
      <c r="A365" s="5" t="s">
        <v>732</v>
      </c>
      <c r="B365" s="5" t="s">
        <v>733</v>
      </c>
      <c r="C365" s="1">
        <v>310</v>
      </c>
      <c r="D365" s="2">
        <v>629.74193548387098</v>
      </c>
      <c r="E365" s="1">
        <v>281</v>
      </c>
      <c r="F365" s="2">
        <v>605.62277580071179</v>
      </c>
      <c r="G365" s="1">
        <v>258</v>
      </c>
      <c r="H365" s="2">
        <v>608.95348837209303</v>
      </c>
      <c r="I365" s="1">
        <v>235</v>
      </c>
      <c r="J365" s="2">
        <v>721.91489361702133</v>
      </c>
    </row>
    <row r="366" spans="1:10" x14ac:dyDescent="0.2">
      <c r="A366" s="5" t="s">
        <v>734</v>
      </c>
      <c r="B366" s="5" t="s">
        <v>735</v>
      </c>
      <c r="C366" s="1">
        <v>241</v>
      </c>
      <c r="D366" s="2">
        <v>569.50207468879671</v>
      </c>
      <c r="E366" s="1">
        <v>226</v>
      </c>
      <c r="F366" s="2">
        <v>626.37168141592929</v>
      </c>
      <c r="G366" s="1">
        <v>211</v>
      </c>
      <c r="H366" s="2">
        <v>733.22274881516591</v>
      </c>
      <c r="I366" s="1">
        <v>219</v>
      </c>
      <c r="J366" s="2">
        <v>811.59817351598178</v>
      </c>
    </row>
    <row r="367" spans="1:10" x14ac:dyDescent="0.2">
      <c r="A367" s="5" t="s">
        <v>736</v>
      </c>
      <c r="B367" s="5" t="s">
        <v>737</v>
      </c>
      <c r="C367" s="1">
        <v>1062</v>
      </c>
      <c r="D367" s="2">
        <v>658.92655367231635</v>
      </c>
      <c r="E367" s="1">
        <v>1192</v>
      </c>
      <c r="F367" s="2">
        <v>700.95637583892608</v>
      </c>
      <c r="G367" s="1">
        <v>1289</v>
      </c>
      <c r="H367" s="2">
        <v>786.64080682699762</v>
      </c>
      <c r="I367" s="1">
        <v>1440</v>
      </c>
      <c r="J367" s="2">
        <v>899.83333333333337</v>
      </c>
    </row>
    <row r="368" spans="1:10" x14ac:dyDescent="0.2">
      <c r="A368" s="5" t="s">
        <v>738</v>
      </c>
      <c r="B368" s="5" t="s">
        <v>739</v>
      </c>
      <c r="C368" s="1">
        <v>252</v>
      </c>
      <c r="D368" s="2">
        <v>717.77777777777771</v>
      </c>
      <c r="E368" s="1">
        <v>265</v>
      </c>
      <c r="F368" s="2">
        <v>693.01886792452831</v>
      </c>
      <c r="G368" s="1">
        <v>298</v>
      </c>
      <c r="H368" s="2">
        <v>777.04697986577185</v>
      </c>
      <c r="I368" s="1">
        <v>332</v>
      </c>
      <c r="J368" s="2">
        <v>909.69879518072287</v>
      </c>
    </row>
    <row r="369" spans="1:10" x14ac:dyDescent="0.2">
      <c r="A369" s="5" t="s">
        <v>740</v>
      </c>
      <c r="B369" s="5" t="s">
        <v>741</v>
      </c>
      <c r="C369" s="1">
        <v>1267</v>
      </c>
      <c r="D369" s="2">
        <v>898.53196527229682</v>
      </c>
      <c r="E369" s="1">
        <v>1243</v>
      </c>
      <c r="F369" s="2">
        <v>937.44167337087697</v>
      </c>
      <c r="G369" s="1">
        <v>1240</v>
      </c>
      <c r="H369" s="2">
        <v>982.50806451612902</v>
      </c>
      <c r="I369" s="1">
        <v>1210</v>
      </c>
      <c r="J369" s="2">
        <v>1076.5867768595042</v>
      </c>
    </row>
    <row r="370" spans="1:10" x14ac:dyDescent="0.2">
      <c r="A370" s="5" t="s">
        <v>742</v>
      </c>
      <c r="B370" s="5" t="s">
        <v>743</v>
      </c>
      <c r="C370" s="1">
        <v>80</v>
      </c>
      <c r="D370" s="2">
        <v>318.62500000000006</v>
      </c>
      <c r="E370" s="1">
        <v>76</v>
      </c>
      <c r="F370" s="2">
        <v>364.21052631578948</v>
      </c>
      <c r="G370" s="1">
        <v>71</v>
      </c>
      <c r="H370" s="2">
        <v>400.28169014084506</v>
      </c>
      <c r="I370" s="1">
        <v>68</v>
      </c>
      <c r="J370" s="2">
        <v>449.70588235294116</v>
      </c>
    </row>
    <row r="371" spans="1:10" x14ac:dyDescent="0.2">
      <c r="A371" s="5" t="s">
        <v>744</v>
      </c>
      <c r="B371" s="5" t="s">
        <v>745</v>
      </c>
      <c r="C371" s="1">
        <v>170</v>
      </c>
      <c r="D371" s="2">
        <v>493.94117647058823</v>
      </c>
      <c r="E371" s="1">
        <v>168</v>
      </c>
      <c r="F371" s="2">
        <v>529.94047619047626</v>
      </c>
      <c r="G371" s="1">
        <v>153</v>
      </c>
      <c r="H371" s="2">
        <v>583.98692810457521</v>
      </c>
      <c r="I371" s="1">
        <v>162</v>
      </c>
      <c r="J371" s="2">
        <v>620.4320987654321</v>
      </c>
    </row>
    <row r="372" spans="1:10" x14ac:dyDescent="0.2">
      <c r="A372" s="5" t="s">
        <v>746</v>
      </c>
      <c r="B372" s="5" t="s">
        <v>747</v>
      </c>
      <c r="C372" s="1">
        <v>2836</v>
      </c>
      <c r="D372" s="2">
        <v>594.8025387870241</v>
      </c>
      <c r="E372" s="1">
        <v>2972</v>
      </c>
      <c r="F372" s="2">
        <v>623.92664872139972</v>
      </c>
      <c r="G372" s="1">
        <v>3154</v>
      </c>
      <c r="H372" s="2">
        <v>695.35827520608746</v>
      </c>
      <c r="I372" s="1">
        <v>3233</v>
      </c>
      <c r="J372" s="2">
        <v>800.19177234766471</v>
      </c>
    </row>
    <row r="373" spans="1:10" x14ac:dyDescent="0.2">
      <c r="A373" s="5" t="s">
        <v>748</v>
      </c>
      <c r="B373" s="5" t="s">
        <v>749</v>
      </c>
      <c r="C373" s="1">
        <v>1460</v>
      </c>
      <c r="D373" s="2">
        <v>626.20547945205476</v>
      </c>
      <c r="E373" s="1">
        <v>1301</v>
      </c>
      <c r="F373" s="2">
        <v>667.73251345119149</v>
      </c>
      <c r="G373" s="1">
        <v>1382</v>
      </c>
      <c r="H373" s="2">
        <v>743.46599131693199</v>
      </c>
      <c r="I373" s="1">
        <v>1418</v>
      </c>
      <c r="J373" s="2">
        <v>800.64880112834976</v>
      </c>
    </row>
    <row r="374" spans="1:10" x14ac:dyDescent="0.2">
      <c r="A374" s="5" t="s">
        <v>750</v>
      </c>
      <c r="B374" s="5" t="s">
        <v>751</v>
      </c>
      <c r="C374" s="1">
        <v>1159</v>
      </c>
      <c r="D374" s="2">
        <v>461.58757549611732</v>
      </c>
      <c r="E374" s="1">
        <v>1192</v>
      </c>
      <c r="F374" s="2">
        <v>506.48489932885911</v>
      </c>
      <c r="G374" s="1">
        <v>1297</v>
      </c>
      <c r="H374" s="2">
        <v>602.01233616037007</v>
      </c>
      <c r="I374" s="1">
        <v>1250</v>
      </c>
      <c r="J374" s="2">
        <v>660.4</v>
      </c>
    </row>
    <row r="375" spans="1:10" x14ac:dyDescent="0.2">
      <c r="A375" s="5" t="s">
        <v>752</v>
      </c>
      <c r="B375" s="5" t="s">
        <v>753</v>
      </c>
      <c r="C375" s="1">
        <v>722</v>
      </c>
      <c r="D375" s="2">
        <v>430.3739612188366</v>
      </c>
      <c r="E375" s="1">
        <v>714</v>
      </c>
      <c r="F375" s="2">
        <v>458.03921568627453</v>
      </c>
      <c r="G375" s="1">
        <v>771</v>
      </c>
      <c r="H375" s="2">
        <v>521.36186770428014</v>
      </c>
      <c r="I375" s="1">
        <v>719</v>
      </c>
      <c r="J375" s="2">
        <v>603.25452016689849</v>
      </c>
    </row>
    <row r="376" spans="1:10" x14ac:dyDescent="0.2">
      <c r="A376" s="5" t="s">
        <v>754</v>
      </c>
      <c r="B376" s="5" t="s">
        <v>755</v>
      </c>
      <c r="C376" s="1">
        <v>3420</v>
      </c>
      <c r="D376" s="2">
        <v>380.52339181286555</v>
      </c>
      <c r="E376" s="1">
        <v>3321</v>
      </c>
      <c r="F376" s="2">
        <v>405.5194218608853</v>
      </c>
      <c r="G376" s="1">
        <v>3337</v>
      </c>
      <c r="H376" s="2">
        <v>473.0716212166617</v>
      </c>
      <c r="I376" s="1">
        <v>3222</v>
      </c>
      <c r="J376" s="2">
        <v>513.29919304779651</v>
      </c>
    </row>
    <row r="377" spans="1:10" x14ac:dyDescent="0.2">
      <c r="A377" s="5" t="s">
        <v>756</v>
      </c>
      <c r="B377" s="5" t="s">
        <v>757</v>
      </c>
      <c r="C377" s="1">
        <v>322</v>
      </c>
      <c r="D377" s="2">
        <v>572.57763975155285</v>
      </c>
      <c r="E377" s="1">
        <v>328</v>
      </c>
      <c r="F377" s="2">
        <v>582.77439024390242</v>
      </c>
      <c r="G377" s="1">
        <v>331</v>
      </c>
      <c r="H377" s="2">
        <v>665.37764350453176</v>
      </c>
      <c r="I377" s="1">
        <v>354</v>
      </c>
      <c r="J377" s="2">
        <v>768.30508474576277</v>
      </c>
    </row>
    <row r="378" spans="1:10" x14ac:dyDescent="0.2">
      <c r="A378" s="5" t="s">
        <v>758</v>
      </c>
      <c r="B378" s="5" t="s">
        <v>759</v>
      </c>
      <c r="C378" s="1">
        <v>76</v>
      </c>
      <c r="D378" s="2">
        <v>360.13157894736844</v>
      </c>
      <c r="E378" s="1">
        <v>85</v>
      </c>
      <c r="F378" s="2">
        <v>420.94117647058829</v>
      </c>
      <c r="G378" s="1">
        <v>68</v>
      </c>
      <c r="H378" s="2">
        <v>431.91176470588238</v>
      </c>
      <c r="I378" s="1">
        <v>57</v>
      </c>
      <c r="J378" s="2">
        <v>448.59649122807014</v>
      </c>
    </row>
    <row r="379" spans="1:10" x14ac:dyDescent="0.2">
      <c r="A379" s="5" t="s">
        <v>760</v>
      </c>
      <c r="B379" s="5" t="s">
        <v>761</v>
      </c>
      <c r="C379" s="1">
        <v>49</v>
      </c>
      <c r="D379" s="2">
        <v>442.24489795918367</v>
      </c>
      <c r="E379" s="1">
        <v>43</v>
      </c>
      <c r="F379" s="2">
        <v>533.95348837209303</v>
      </c>
      <c r="G379" s="1">
        <v>41</v>
      </c>
      <c r="H379" s="2">
        <v>677.56097560975616</v>
      </c>
      <c r="I379" s="1">
        <v>37</v>
      </c>
      <c r="J379" s="2">
        <v>737.29729729729729</v>
      </c>
    </row>
    <row r="380" spans="1:10" x14ac:dyDescent="0.2">
      <c r="A380" s="5" t="s">
        <v>762</v>
      </c>
      <c r="B380" s="5" t="s">
        <v>763</v>
      </c>
      <c r="C380" s="1">
        <v>540</v>
      </c>
      <c r="D380" s="2">
        <v>382.68518518518516</v>
      </c>
      <c r="E380" s="1">
        <v>523</v>
      </c>
      <c r="F380" s="2">
        <v>421.68260038240919</v>
      </c>
      <c r="G380" s="1">
        <v>517</v>
      </c>
      <c r="H380" s="2">
        <v>457.05996131528047</v>
      </c>
      <c r="I380" s="1">
        <v>543</v>
      </c>
      <c r="J380" s="2">
        <v>476.99815837937382</v>
      </c>
    </row>
    <row r="381" spans="1:10" x14ac:dyDescent="0.2">
      <c r="A381" s="5" t="s">
        <v>764</v>
      </c>
      <c r="B381" s="5" t="s">
        <v>765</v>
      </c>
      <c r="C381" s="1">
        <v>388</v>
      </c>
      <c r="D381" s="2">
        <v>460.67010309278356</v>
      </c>
      <c r="E381" s="1">
        <v>439</v>
      </c>
      <c r="F381" s="2">
        <v>468.56492027334855</v>
      </c>
      <c r="G381" s="1">
        <v>488</v>
      </c>
      <c r="H381" s="2">
        <v>547.74590163934431</v>
      </c>
      <c r="I381" s="1">
        <v>507</v>
      </c>
      <c r="J381" s="2">
        <v>602.38658777120327</v>
      </c>
    </row>
    <row r="382" spans="1:10" x14ac:dyDescent="0.2">
      <c r="A382" s="5" t="s">
        <v>766</v>
      </c>
      <c r="B382" s="5" t="s">
        <v>767</v>
      </c>
      <c r="C382" s="1">
        <v>3145</v>
      </c>
      <c r="D382" s="2">
        <v>695.23688394276633</v>
      </c>
      <c r="E382" s="1">
        <v>3163</v>
      </c>
      <c r="F382" s="2">
        <v>719.34239645905791</v>
      </c>
      <c r="G382" s="1">
        <v>3111</v>
      </c>
      <c r="H382" s="2">
        <v>844.58052073288331</v>
      </c>
      <c r="I382" s="1">
        <v>3017</v>
      </c>
      <c r="J382" s="2">
        <v>924.42492542260538</v>
      </c>
    </row>
    <row r="383" spans="1:10" x14ac:dyDescent="0.2">
      <c r="A383" s="5" t="s">
        <v>768</v>
      </c>
      <c r="B383" s="5" t="s">
        <v>769</v>
      </c>
      <c r="C383" s="1">
        <v>321</v>
      </c>
      <c r="D383" s="2">
        <v>708.47352024922122</v>
      </c>
      <c r="E383" s="1">
        <v>316</v>
      </c>
      <c r="F383" s="2">
        <v>740.69620253164555</v>
      </c>
      <c r="G383" s="1">
        <v>323</v>
      </c>
      <c r="H383" s="2">
        <v>764.76780185758514</v>
      </c>
      <c r="I383" s="1">
        <v>324</v>
      </c>
      <c r="J383" s="2">
        <v>912.06790123456778</v>
      </c>
    </row>
    <row r="384" spans="1:10" x14ac:dyDescent="0.2">
      <c r="A384" s="5" t="s">
        <v>770</v>
      </c>
      <c r="B384" s="5" t="s">
        <v>771</v>
      </c>
      <c r="C384" s="1">
        <v>6051</v>
      </c>
      <c r="D384" s="2">
        <v>518.05321434473649</v>
      </c>
      <c r="E384" s="1">
        <v>5949</v>
      </c>
      <c r="F384" s="2">
        <v>535.97915616069929</v>
      </c>
      <c r="G384" s="1">
        <v>5791</v>
      </c>
      <c r="H384" s="2">
        <v>624.82645484372301</v>
      </c>
      <c r="I384" s="1">
        <v>5584</v>
      </c>
      <c r="J384" s="2">
        <v>687.8545845272206</v>
      </c>
    </row>
    <row r="385" spans="1:10" x14ac:dyDescent="0.2">
      <c r="A385" s="5" t="s">
        <v>772</v>
      </c>
      <c r="B385" s="5" t="s">
        <v>773</v>
      </c>
      <c r="C385" s="1">
        <v>655</v>
      </c>
      <c r="D385" s="2">
        <v>676.10687022900765</v>
      </c>
      <c r="E385" s="1">
        <v>686</v>
      </c>
      <c r="F385" s="2">
        <v>698.16326530612253</v>
      </c>
      <c r="G385" s="1">
        <v>755</v>
      </c>
      <c r="H385" s="2">
        <v>767.62913907284781</v>
      </c>
      <c r="I385" s="1">
        <v>823</v>
      </c>
      <c r="J385" s="2">
        <v>836.79222357229651</v>
      </c>
    </row>
    <row r="386" spans="1:10" x14ac:dyDescent="0.2">
      <c r="A386" s="5" t="s">
        <v>774</v>
      </c>
      <c r="B386" s="5" t="s">
        <v>775</v>
      </c>
      <c r="C386" s="1">
        <v>3488</v>
      </c>
      <c r="D386" s="2">
        <v>533.05332568807341</v>
      </c>
      <c r="E386" s="1">
        <v>3349</v>
      </c>
      <c r="F386" s="2">
        <v>588.4741713944461</v>
      </c>
      <c r="G386" s="1">
        <v>3106</v>
      </c>
      <c r="H386" s="2">
        <v>619.4591113972956</v>
      </c>
      <c r="I386" s="1">
        <v>3072</v>
      </c>
      <c r="J386" s="2">
        <v>672.19075520833337</v>
      </c>
    </row>
    <row r="387" spans="1:10" x14ac:dyDescent="0.2">
      <c r="A387" s="5" t="s">
        <v>776</v>
      </c>
      <c r="B387" s="5" t="s">
        <v>777</v>
      </c>
      <c r="C387" s="1">
        <v>1115</v>
      </c>
      <c r="D387" s="2">
        <v>510.55605381165913</v>
      </c>
      <c r="E387" s="1">
        <v>1230</v>
      </c>
      <c r="F387" s="2">
        <v>539.09756097560978</v>
      </c>
      <c r="G387" s="1">
        <v>1408</v>
      </c>
      <c r="H387" s="2">
        <v>577.47869318181824</v>
      </c>
      <c r="I387" s="1">
        <v>1563</v>
      </c>
      <c r="J387" s="2">
        <v>628.88675623800384</v>
      </c>
    </row>
    <row r="388" spans="1:10" x14ac:dyDescent="0.2">
      <c r="A388" s="5" t="s">
        <v>778</v>
      </c>
      <c r="B388" s="5" t="s">
        <v>779</v>
      </c>
      <c r="C388" s="1">
        <v>3074</v>
      </c>
      <c r="D388" s="2">
        <v>597.89199739752758</v>
      </c>
      <c r="E388" s="1">
        <v>3208</v>
      </c>
      <c r="F388" s="2">
        <v>629.15835411471323</v>
      </c>
      <c r="G388" s="1">
        <v>3337</v>
      </c>
      <c r="H388" s="2">
        <v>715.60383578064136</v>
      </c>
      <c r="I388" s="1">
        <v>3586</v>
      </c>
      <c r="J388" s="2">
        <v>809.88287785833802</v>
      </c>
    </row>
    <row r="389" spans="1:10" x14ac:dyDescent="0.2">
      <c r="A389" s="5" t="s">
        <v>780</v>
      </c>
      <c r="B389" s="5" t="s">
        <v>781</v>
      </c>
      <c r="C389" s="1">
        <v>638</v>
      </c>
      <c r="D389" s="2">
        <v>521.6300940438872</v>
      </c>
      <c r="E389" s="1">
        <v>781</v>
      </c>
      <c r="F389" s="2">
        <v>536.90140845070425</v>
      </c>
      <c r="G389" s="1">
        <v>859</v>
      </c>
      <c r="H389" s="2">
        <v>611.64144353899883</v>
      </c>
      <c r="I389" s="1">
        <v>928</v>
      </c>
      <c r="J389" s="2">
        <v>766.73491379310349</v>
      </c>
    </row>
    <row r="390" spans="1:10" x14ac:dyDescent="0.2">
      <c r="A390" s="5" t="s">
        <v>782</v>
      </c>
      <c r="B390" s="5" t="s">
        <v>783</v>
      </c>
      <c r="C390" s="1">
        <v>3269</v>
      </c>
      <c r="D390" s="2">
        <v>478.60813704496786</v>
      </c>
      <c r="E390" s="1">
        <v>3745</v>
      </c>
      <c r="F390" s="2">
        <v>488.38184245660881</v>
      </c>
      <c r="G390" s="1">
        <v>4230</v>
      </c>
      <c r="H390" s="2">
        <v>540.70921985815608</v>
      </c>
      <c r="I390" s="1">
        <v>4970</v>
      </c>
      <c r="J390" s="2">
        <v>593.79879275653923</v>
      </c>
    </row>
    <row r="391" spans="1:10" x14ac:dyDescent="0.2">
      <c r="A391" s="5" t="s">
        <v>784</v>
      </c>
      <c r="B391" s="5" t="s">
        <v>785</v>
      </c>
      <c r="C391" s="1">
        <v>5490</v>
      </c>
      <c r="D391" s="2">
        <v>448.65391621129328</v>
      </c>
      <c r="E391" s="1">
        <v>5731</v>
      </c>
      <c r="F391" s="2">
        <v>469.404990403071</v>
      </c>
      <c r="G391" s="1">
        <v>6191</v>
      </c>
      <c r="H391" s="2">
        <v>525.67598126312384</v>
      </c>
      <c r="I391" s="1">
        <v>6902</v>
      </c>
      <c r="J391" s="2">
        <v>581.67487684729065</v>
      </c>
    </row>
    <row r="392" spans="1:10" x14ac:dyDescent="0.2">
      <c r="A392" s="5" t="s">
        <v>786</v>
      </c>
      <c r="B392" s="5" t="s">
        <v>787</v>
      </c>
      <c r="C392" s="1">
        <v>1270</v>
      </c>
      <c r="D392" s="2">
        <v>936.96062992125985</v>
      </c>
      <c r="E392" s="1">
        <v>1253</v>
      </c>
      <c r="F392" s="2">
        <v>1008.2442138866719</v>
      </c>
      <c r="G392" s="1">
        <v>1193</v>
      </c>
      <c r="H392" s="2">
        <v>1079.8742665549034</v>
      </c>
      <c r="I392" s="1">
        <v>1107</v>
      </c>
      <c r="J392" s="2">
        <v>1384.3089430894308</v>
      </c>
    </row>
    <row r="393" spans="1:10" x14ac:dyDescent="0.2">
      <c r="A393" s="5" t="s">
        <v>788</v>
      </c>
      <c r="B393" s="5" t="s">
        <v>789</v>
      </c>
      <c r="C393" s="1">
        <v>2971</v>
      </c>
      <c r="D393" s="2">
        <v>766.98081454055875</v>
      </c>
      <c r="E393" s="1">
        <v>2910</v>
      </c>
      <c r="F393" s="2">
        <v>767.12371134020623</v>
      </c>
      <c r="G393" s="1">
        <v>2821</v>
      </c>
      <c r="H393" s="2">
        <v>844.66855724920242</v>
      </c>
      <c r="I393" s="1">
        <v>2422</v>
      </c>
      <c r="J393" s="2">
        <v>965.55739058629229</v>
      </c>
    </row>
    <row r="394" spans="1:10" x14ac:dyDescent="0.2">
      <c r="A394" s="5" t="s">
        <v>790</v>
      </c>
      <c r="B394" s="5" t="s">
        <v>791</v>
      </c>
      <c r="C394" s="1">
        <v>47</v>
      </c>
      <c r="D394" s="2">
        <v>522.55319148936178</v>
      </c>
      <c r="E394" s="1">
        <v>54</v>
      </c>
      <c r="F394" s="2">
        <v>494.81481481481484</v>
      </c>
      <c r="G394" s="1">
        <v>52</v>
      </c>
      <c r="H394" s="2">
        <v>598.65384615384608</v>
      </c>
      <c r="I394" s="1">
        <v>46</v>
      </c>
      <c r="J394" s="2">
        <v>632.82608695652175</v>
      </c>
    </row>
    <row r="395" spans="1:10" x14ac:dyDescent="0.2">
      <c r="A395" s="5" t="s">
        <v>792</v>
      </c>
      <c r="B395" s="5" t="s">
        <v>793</v>
      </c>
      <c r="C395" s="1">
        <v>17000</v>
      </c>
      <c r="D395" s="2">
        <v>433.19882352941175</v>
      </c>
      <c r="E395" s="1">
        <v>17033</v>
      </c>
      <c r="F395" s="2">
        <v>464.61104913990494</v>
      </c>
      <c r="G395" s="1">
        <v>17123</v>
      </c>
      <c r="H395" s="2">
        <v>507.8601880511593</v>
      </c>
      <c r="I395" s="1">
        <v>16730</v>
      </c>
      <c r="J395" s="2">
        <v>573.28272564255838</v>
      </c>
    </row>
    <row r="396" spans="1:10" x14ac:dyDescent="0.2">
      <c r="A396" s="5" t="s">
        <v>794</v>
      </c>
      <c r="B396" s="5" t="s">
        <v>795</v>
      </c>
      <c r="C396" s="1">
        <v>7143</v>
      </c>
      <c r="D396" s="2">
        <v>608.84782304353917</v>
      </c>
      <c r="E396" s="1">
        <v>7466</v>
      </c>
      <c r="F396" s="2">
        <v>629.76962228770412</v>
      </c>
      <c r="G396" s="1">
        <v>7589</v>
      </c>
      <c r="H396" s="2">
        <v>679.88536039003839</v>
      </c>
      <c r="I396" s="1">
        <v>7494</v>
      </c>
      <c r="J396" s="2">
        <v>723.43474779823862</v>
      </c>
    </row>
    <row r="397" spans="1:10" x14ac:dyDescent="0.2">
      <c r="A397" s="5" t="s">
        <v>796</v>
      </c>
      <c r="B397" s="5" t="s">
        <v>797</v>
      </c>
      <c r="C397" s="1">
        <v>45332</v>
      </c>
      <c r="D397" s="2">
        <v>407.17506397246984</v>
      </c>
      <c r="E397" s="1">
        <v>46399</v>
      </c>
      <c r="F397" s="2">
        <v>450.51143343606543</v>
      </c>
      <c r="G397" s="1">
        <v>50666</v>
      </c>
      <c r="H397" s="2">
        <v>495.90909090909093</v>
      </c>
      <c r="I397" s="1">
        <v>64740</v>
      </c>
      <c r="J397" s="2">
        <v>512.88168056842756</v>
      </c>
    </row>
    <row r="398" spans="1:10" x14ac:dyDescent="0.2">
      <c r="A398" s="5" t="s">
        <v>798</v>
      </c>
      <c r="B398" s="5" t="s">
        <v>799</v>
      </c>
      <c r="C398" s="1">
        <v>6504</v>
      </c>
      <c r="D398" s="2">
        <v>481.48523985239848</v>
      </c>
      <c r="E398" s="1">
        <v>6186</v>
      </c>
      <c r="F398" s="2">
        <v>518.97995473650167</v>
      </c>
      <c r="G398" s="1">
        <v>6086</v>
      </c>
      <c r="H398" s="2">
        <v>579.18830101873152</v>
      </c>
      <c r="I398" s="1">
        <v>6116</v>
      </c>
      <c r="J398" s="2">
        <v>662.18933943754087</v>
      </c>
    </row>
    <row r="399" spans="1:10" x14ac:dyDescent="0.2">
      <c r="A399" s="5" t="s">
        <v>800</v>
      </c>
      <c r="B399" s="5" t="s">
        <v>801</v>
      </c>
      <c r="C399" s="1">
        <v>4459</v>
      </c>
      <c r="D399" s="2">
        <v>496.71450997981611</v>
      </c>
      <c r="E399" s="1">
        <v>4452</v>
      </c>
      <c r="F399" s="2">
        <v>502.37870619946091</v>
      </c>
      <c r="G399" s="1">
        <v>4465</v>
      </c>
      <c r="H399" s="2">
        <v>572</v>
      </c>
      <c r="I399" s="1">
        <v>4594</v>
      </c>
      <c r="J399" s="2">
        <v>640.31998258598173</v>
      </c>
    </row>
    <row r="400" spans="1:10" x14ac:dyDescent="0.2">
      <c r="A400" s="5" t="s">
        <v>802</v>
      </c>
      <c r="B400" s="5" t="s">
        <v>803</v>
      </c>
      <c r="C400" s="1">
        <v>2324</v>
      </c>
      <c r="D400" s="2">
        <v>735.08605851979348</v>
      </c>
      <c r="E400" s="1">
        <v>2316</v>
      </c>
      <c r="F400" s="2">
        <v>733.60535405872201</v>
      </c>
      <c r="G400" s="1">
        <v>2290</v>
      </c>
      <c r="H400" s="2">
        <v>843.26637554585147</v>
      </c>
      <c r="I400" s="1">
        <v>2248</v>
      </c>
      <c r="J400" s="2">
        <v>970.74733096085424</v>
      </c>
    </row>
    <row r="401" spans="1:10" x14ac:dyDescent="0.2">
      <c r="A401" s="5" t="s">
        <v>804</v>
      </c>
      <c r="B401" s="5" t="s">
        <v>805</v>
      </c>
      <c r="C401" s="1">
        <v>3510</v>
      </c>
      <c r="D401" s="2">
        <v>601.56695156695162</v>
      </c>
      <c r="E401" s="1">
        <v>3559</v>
      </c>
      <c r="F401" s="2">
        <v>618.61477943242483</v>
      </c>
      <c r="G401" s="1">
        <v>3678</v>
      </c>
      <c r="H401" s="2">
        <v>697.75421424687329</v>
      </c>
      <c r="I401" s="1">
        <v>3697</v>
      </c>
      <c r="J401" s="2">
        <v>788.01190154179073</v>
      </c>
    </row>
    <row r="402" spans="1:10" x14ac:dyDescent="0.2">
      <c r="A402" s="5" t="s">
        <v>806</v>
      </c>
      <c r="B402" s="5" t="s">
        <v>807</v>
      </c>
      <c r="C402" s="1">
        <v>948</v>
      </c>
      <c r="D402" s="2">
        <v>647.81645569620252</v>
      </c>
      <c r="E402" s="1">
        <v>916</v>
      </c>
      <c r="F402" s="2">
        <v>948.13318777292579</v>
      </c>
      <c r="G402" s="1">
        <v>862</v>
      </c>
      <c r="H402" s="2">
        <v>894.53596287703022</v>
      </c>
      <c r="I402" s="1">
        <v>833</v>
      </c>
      <c r="J402" s="2">
        <v>936.54261704681869</v>
      </c>
    </row>
    <row r="403" spans="1:10" x14ac:dyDescent="0.2">
      <c r="A403" s="5" t="s">
        <v>808</v>
      </c>
      <c r="B403" s="5" t="s">
        <v>809</v>
      </c>
      <c r="C403" s="1">
        <v>3416</v>
      </c>
      <c r="D403" s="2">
        <v>233.31674473067915</v>
      </c>
      <c r="E403" s="1">
        <v>3665</v>
      </c>
      <c r="F403" s="2">
        <v>264.84583901773533</v>
      </c>
      <c r="G403" s="1">
        <v>3964</v>
      </c>
      <c r="H403" s="2">
        <v>285.60292633703335</v>
      </c>
      <c r="I403" s="1">
        <v>4486</v>
      </c>
      <c r="J403" s="2">
        <v>313.19884083816316</v>
      </c>
    </row>
    <row r="404" spans="1:10" x14ac:dyDescent="0.2">
      <c r="A404" s="5" t="s">
        <v>810</v>
      </c>
      <c r="B404" s="5" t="s">
        <v>811</v>
      </c>
      <c r="C404" s="1">
        <v>39298</v>
      </c>
      <c r="D404" s="2">
        <v>267.10926764720853</v>
      </c>
      <c r="E404" s="1">
        <v>40539</v>
      </c>
      <c r="F404" s="2">
        <v>303.05162929524653</v>
      </c>
      <c r="G404" s="1">
        <v>41243</v>
      </c>
      <c r="H404" s="2">
        <v>333.15568702567708</v>
      </c>
      <c r="I404" s="1">
        <v>40813</v>
      </c>
      <c r="J404" s="2">
        <v>364.69335750863695</v>
      </c>
    </row>
    <row r="405" spans="1:10" x14ac:dyDescent="0.2">
      <c r="A405" s="5" t="s">
        <v>812</v>
      </c>
      <c r="B405" s="5" t="s">
        <v>813</v>
      </c>
      <c r="C405" s="1">
        <v>1703</v>
      </c>
      <c r="D405" s="2">
        <v>323.95184967704057</v>
      </c>
      <c r="E405" s="1">
        <v>1677</v>
      </c>
      <c r="F405" s="2">
        <v>348.69409660107334</v>
      </c>
      <c r="G405" s="1">
        <v>1546</v>
      </c>
      <c r="H405" s="2">
        <v>408.44760672703757</v>
      </c>
      <c r="I405" s="1">
        <v>1439</v>
      </c>
      <c r="J405" s="2">
        <v>459.47185545517726</v>
      </c>
    </row>
    <row r="406" spans="1:10" x14ac:dyDescent="0.2">
      <c r="A406" s="5" t="s">
        <v>814</v>
      </c>
      <c r="B406" s="5" t="s">
        <v>815</v>
      </c>
      <c r="C406" s="1">
        <v>1136</v>
      </c>
      <c r="D406" s="2">
        <v>311.83098591549299</v>
      </c>
      <c r="E406" s="1">
        <v>1243</v>
      </c>
      <c r="F406" s="2">
        <v>346.71761866452135</v>
      </c>
      <c r="G406" s="1">
        <v>1261</v>
      </c>
      <c r="H406" s="2">
        <v>387.81126090404445</v>
      </c>
      <c r="I406" s="1">
        <v>1263</v>
      </c>
      <c r="J406" s="2">
        <v>468.13935075217734</v>
      </c>
    </row>
    <row r="407" spans="1:10" x14ac:dyDescent="0.2">
      <c r="A407" s="5" t="s">
        <v>816</v>
      </c>
      <c r="B407" s="5" t="s">
        <v>817</v>
      </c>
      <c r="C407" s="1">
        <v>28</v>
      </c>
      <c r="D407" s="2">
        <v>250.71428571428572</v>
      </c>
      <c r="E407" s="1">
        <v>28</v>
      </c>
      <c r="F407" s="2">
        <v>294.64285714285717</v>
      </c>
      <c r="G407" s="1">
        <v>29</v>
      </c>
      <c r="H407" s="2">
        <v>337.5862068965518</v>
      </c>
      <c r="I407" s="1">
        <v>35</v>
      </c>
      <c r="J407" s="2">
        <v>508.28571428571422</v>
      </c>
    </row>
    <row r="408" spans="1:10" x14ac:dyDescent="0.2">
      <c r="A408" s="5" t="s">
        <v>818</v>
      </c>
      <c r="B408" s="5" t="s">
        <v>819</v>
      </c>
      <c r="C408" s="1">
        <v>4161</v>
      </c>
      <c r="D408" s="2">
        <v>266.15236721941841</v>
      </c>
      <c r="E408" s="1">
        <v>4151</v>
      </c>
      <c r="F408" s="2">
        <v>298.63888219706098</v>
      </c>
      <c r="G408" s="1">
        <v>4034</v>
      </c>
      <c r="H408" s="2">
        <v>336.80961824491823</v>
      </c>
      <c r="I408" s="1">
        <v>4021</v>
      </c>
      <c r="J408" s="2">
        <v>374.43670728674459</v>
      </c>
    </row>
    <row r="409" spans="1:10" x14ac:dyDescent="0.2">
      <c r="A409" s="5" t="s">
        <v>820</v>
      </c>
      <c r="B409" s="5" t="s">
        <v>821</v>
      </c>
      <c r="C409" s="1">
        <v>2968</v>
      </c>
      <c r="D409" s="2">
        <v>258.29514824797843</v>
      </c>
      <c r="E409" s="1">
        <v>3006</v>
      </c>
      <c r="F409" s="2">
        <v>292.54823685961412</v>
      </c>
      <c r="G409" s="1">
        <v>3121</v>
      </c>
      <c r="H409" s="2">
        <v>329.76289650752966</v>
      </c>
      <c r="I409" s="1">
        <v>3179</v>
      </c>
      <c r="J409" s="2">
        <v>398.64737338785784</v>
      </c>
    </row>
    <row r="410" spans="1:10" x14ac:dyDescent="0.2">
      <c r="A410" s="5" t="s">
        <v>822</v>
      </c>
      <c r="B410" s="5" t="s">
        <v>823</v>
      </c>
      <c r="C410" s="1">
        <v>5459</v>
      </c>
      <c r="D410" s="2">
        <v>333.88899065762962</v>
      </c>
      <c r="E410" s="1">
        <v>5262</v>
      </c>
      <c r="F410" s="2">
        <v>360.31546940326871</v>
      </c>
      <c r="G410" s="1">
        <v>5097</v>
      </c>
      <c r="H410" s="2">
        <v>389.93525603296058</v>
      </c>
      <c r="I410" s="1">
        <v>5055</v>
      </c>
      <c r="J410" s="2">
        <v>465.1790306627102</v>
      </c>
    </row>
    <row r="411" spans="1:10" x14ac:dyDescent="0.2">
      <c r="A411" s="5" t="s">
        <v>824</v>
      </c>
      <c r="B411" s="5" t="s">
        <v>825</v>
      </c>
      <c r="C411" s="1">
        <v>2230</v>
      </c>
      <c r="D411" s="2">
        <v>215.35426008968611</v>
      </c>
      <c r="E411" s="1">
        <v>2281</v>
      </c>
      <c r="F411" s="2">
        <v>246.85225778167472</v>
      </c>
      <c r="G411" s="1">
        <v>2156</v>
      </c>
      <c r="H411" s="2">
        <v>278.83116883116884</v>
      </c>
      <c r="I411" s="1">
        <v>2172</v>
      </c>
      <c r="J411" s="2">
        <v>352.00736648250461</v>
      </c>
    </row>
    <row r="412" spans="1:10" x14ac:dyDescent="0.2">
      <c r="A412" s="5" t="s">
        <v>826</v>
      </c>
      <c r="B412" s="5" t="s">
        <v>827</v>
      </c>
      <c r="C412" s="1">
        <v>819</v>
      </c>
      <c r="D412" s="2">
        <v>243.83394383394386</v>
      </c>
      <c r="E412" s="1">
        <v>827</v>
      </c>
      <c r="F412" s="2">
        <v>277.01330108827091</v>
      </c>
      <c r="G412" s="1">
        <v>822</v>
      </c>
      <c r="H412" s="2">
        <v>315.19464720194651</v>
      </c>
      <c r="I412" s="1">
        <v>805</v>
      </c>
      <c r="J412" s="2">
        <v>352.94409937888202</v>
      </c>
    </row>
    <row r="413" spans="1:10" x14ac:dyDescent="0.2">
      <c r="A413" s="5" t="s">
        <v>828</v>
      </c>
      <c r="B413" s="5" t="s">
        <v>829</v>
      </c>
      <c r="C413" s="1">
        <v>3075</v>
      </c>
      <c r="D413" s="2">
        <v>253.54146341463414</v>
      </c>
      <c r="E413" s="1">
        <v>2560</v>
      </c>
      <c r="F413" s="2">
        <v>271.64062499999994</v>
      </c>
      <c r="G413" s="1">
        <v>2420</v>
      </c>
      <c r="H413" s="2">
        <v>313.21487603305786</v>
      </c>
      <c r="I413" s="1">
        <v>2138</v>
      </c>
      <c r="J413" s="2">
        <v>355.36014967259121</v>
      </c>
    </row>
    <row r="414" spans="1:10" x14ac:dyDescent="0.2">
      <c r="A414" s="5" t="s">
        <v>830</v>
      </c>
      <c r="B414" s="5" t="s">
        <v>831</v>
      </c>
      <c r="C414" s="1">
        <v>1088</v>
      </c>
      <c r="D414" s="2">
        <v>325.79963235294116</v>
      </c>
      <c r="E414" s="1">
        <v>1092</v>
      </c>
      <c r="F414" s="2">
        <v>464.20329670329676</v>
      </c>
      <c r="G414" s="1">
        <v>1027</v>
      </c>
      <c r="H414" s="2">
        <v>433.20350535540416</v>
      </c>
      <c r="I414" s="1">
        <v>1207</v>
      </c>
      <c r="J414" s="2">
        <v>634.19221209610612</v>
      </c>
    </row>
    <row r="415" spans="1:10" x14ac:dyDescent="0.2">
      <c r="A415" s="5" t="s">
        <v>832</v>
      </c>
      <c r="B415" s="5" t="s">
        <v>833</v>
      </c>
      <c r="C415" s="1">
        <v>766</v>
      </c>
      <c r="D415" s="2">
        <v>353.14621409921671</v>
      </c>
      <c r="E415" s="1">
        <v>835</v>
      </c>
      <c r="F415" s="2">
        <v>378.98203592814372</v>
      </c>
      <c r="G415" s="1">
        <v>962</v>
      </c>
      <c r="H415" s="2">
        <v>423.90852390852393</v>
      </c>
      <c r="I415" s="1">
        <v>920</v>
      </c>
      <c r="J415" s="2">
        <v>503.38043478260875</v>
      </c>
    </row>
    <row r="416" spans="1:10" x14ac:dyDescent="0.2">
      <c r="A416" s="5" t="s">
        <v>834</v>
      </c>
      <c r="B416" s="5" t="s">
        <v>835</v>
      </c>
      <c r="C416" s="1">
        <v>3532</v>
      </c>
      <c r="D416" s="2">
        <v>364.40826727066815</v>
      </c>
      <c r="E416" s="1">
        <v>3583</v>
      </c>
      <c r="F416" s="2">
        <v>377.39045492603964</v>
      </c>
      <c r="G416" s="1">
        <v>3644</v>
      </c>
      <c r="H416" s="2">
        <v>447.28869374313945</v>
      </c>
      <c r="I416" s="1">
        <v>3907</v>
      </c>
      <c r="J416" s="2">
        <v>507.96007166624014</v>
      </c>
    </row>
    <row r="417" spans="1:10" x14ac:dyDescent="0.2">
      <c r="A417" s="5" t="s">
        <v>836</v>
      </c>
      <c r="B417" s="5" t="s">
        <v>837</v>
      </c>
      <c r="C417" s="1">
        <v>7158</v>
      </c>
      <c r="D417" s="2">
        <v>290.25845208158705</v>
      </c>
      <c r="E417" s="1">
        <v>7176</v>
      </c>
      <c r="F417" s="2">
        <v>286.92028985507244</v>
      </c>
      <c r="G417" s="1">
        <v>7290</v>
      </c>
      <c r="H417" s="2">
        <v>335.5541838134431</v>
      </c>
      <c r="I417" s="1">
        <v>7534</v>
      </c>
      <c r="J417" s="2">
        <v>401.97902840456601</v>
      </c>
    </row>
    <row r="418" spans="1:10" x14ac:dyDescent="0.2">
      <c r="A418" s="5" t="s">
        <v>838</v>
      </c>
      <c r="B418" s="5" t="s">
        <v>839</v>
      </c>
      <c r="C418" s="1">
        <v>6587</v>
      </c>
      <c r="D418" s="2">
        <v>407.39031425535143</v>
      </c>
      <c r="E418" s="1">
        <v>6982</v>
      </c>
      <c r="F418" s="2">
        <v>448.59209395588658</v>
      </c>
      <c r="G418" s="1">
        <v>7373</v>
      </c>
      <c r="H418" s="2">
        <v>516.45191916451927</v>
      </c>
      <c r="I418" s="1">
        <v>7686</v>
      </c>
      <c r="J418" s="2">
        <v>586.96200884725476</v>
      </c>
    </row>
    <row r="419" spans="1:10" x14ac:dyDescent="0.2">
      <c r="A419" s="5" t="s">
        <v>840</v>
      </c>
      <c r="B419" s="5" t="s">
        <v>841</v>
      </c>
      <c r="C419" s="1">
        <v>12477</v>
      </c>
      <c r="D419" s="2">
        <v>367.60599503085677</v>
      </c>
      <c r="E419" s="1">
        <v>13357</v>
      </c>
      <c r="F419" s="2">
        <v>397.91794564647751</v>
      </c>
      <c r="G419" s="1">
        <v>14517</v>
      </c>
      <c r="H419" s="2">
        <v>448.72907625542467</v>
      </c>
      <c r="I419" s="1">
        <v>14880</v>
      </c>
      <c r="J419" s="2">
        <v>539.31854838709683</v>
      </c>
    </row>
    <row r="420" spans="1:10" x14ac:dyDescent="0.2">
      <c r="A420" s="5" t="s">
        <v>842</v>
      </c>
      <c r="B420" s="5" t="s">
        <v>843</v>
      </c>
      <c r="C420" s="1">
        <v>919</v>
      </c>
      <c r="D420" s="2">
        <v>397.42110990206749</v>
      </c>
      <c r="E420" s="1">
        <v>1116</v>
      </c>
      <c r="F420" s="2">
        <v>428.6559139784946</v>
      </c>
      <c r="G420" s="1">
        <v>1136</v>
      </c>
      <c r="H420" s="2">
        <v>490</v>
      </c>
      <c r="I420" s="1">
        <v>1164</v>
      </c>
      <c r="J420" s="2">
        <v>585.62714776632299</v>
      </c>
    </row>
    <row r="421" spans="1:10" x14ac:dyDescent="0.2">
      <c r="A421" s="5" t="s">
        <v>844</v>
      </c>
      <c r="B421" s="5" t="s">
        <v>845</v>
      </c>
      <c r="C421" s="1">
        <v>74</v>
      </c>
      <c r="D421" s="2">
        <v>350.94594594594594</v>
      </c>
      <c r="E421" s="1">
        <v>80</v>
      </c>
      <c r="F421" s="2">
        <v>368.875</v>
      </c>
      <c r="G421" s="1">
        <v>98</v>
      </c>
      <c r="H421" s="2">
        <v>436.53061224489795</v>
      </c>
      <c r="I421" s="1">
        <v>111</v>
      </c>
      <c r="J421" s="2">
        <v>505.49549549549545</v>
      </c>
    </row>
    <row r="422" spans="1:10" x14ac:dyDescent="0.2">
      <c r="A422" s="5" t="s">
        <v>846</v>
      </c>
      <c r="B422" s="5" t="s">
        <v>847</v>
      </c>
      <c r="C422" s="1">
        <v>13323</v>
      </c>
      <c r="D422" s="2">
        <v>436.70794866021168</v>
      </c>
      <c r="E422" s="1">
        <v>13134</v>
      </c>
      <c r="F422" s="2">
        <v>471.03928734582001</v>
      </c>
      <c r="G422" s="1">
        <v>14014</v>
      </c>
      <c r="H422" s="2">
        <v>519.57899243613531</v>
      </c>
      <c r="I422" s="1">
        <v>14096</v>
      </c>
      <c r="J422" s="2">
        <v>600.85698070374576</v>
      </c>
    </row>
    <row r="423" spans="1:10" x14ac:dyDescent="0.2">
      <c r="A423" s="5" t="s">
        <v>848</v>
      </c>
      <c r="B423" s="5" t="s">
        <v>849</v>
      </c>
      <c r="C423" s="1">
        <v>5122</v>
      </c>
      <c r="D423" s="2">
        <v>386.45841468176496</v>
      </c>
      <c r="E423" s="1">
        <v>5359</v>
      </c>
      <c r="F423" s="2">
        <v>419.99813398022019</v>
      </c>
      <c r="G423" s="1">
        <v>5320</v>
      </c>
      <c r="H423" s="2">
        <v>465.59022556390977</v>
      </c>
      <c r="I423" s="1">
        <v>5647</v>
      </c>
      <c r="J423" s="2">
        <v>518.50008854258897</v>
      </c>
    </row>
    <row r="424" spans="1:10" x14ac:dyDescent="0.2">
      <c r="A424" s="5" t="s">
        <v>850</v>
      </c>
      <c r="B424" s="5" t="s">
        <v>851</v>
      </c>
      <c r="C424" s="1">
        <v>1052</v>
      </c>
      <c r="D424" s="2">
        <v>324.78136882129274</v>
      </c>
      <c r="E424" s="1">
        <v>1303</v>
      </c>
      <c r="F424" s="2">
        <v>350.56792018419037</v>
      </c>
      <c r="G424" s="1">
        <v>1361</v>
      </c>
      <c r="H424" s="2">
        <v>395.75312270389418</v>
      </c>
      <c r="I424" s="1">
        <v>1699</v>
      </c>
      <c r="J424" s="2">
        <v>426.77457327839909</v>
      </c>
    </row>
    <row r="425" spans="1:10" x14ac:dyDescent="0.2">
      <c r="A425" s="5" t="s">
        <v>852</v>
      </c>
      <c r="B425" s="5" t="s">
        <v>853</v>
      </c>
      <c r="C425" s="1">
        <v>3898</v>
      </c>
      <c r="D425" s="2">
        <v>271.13134940995388</v>
      </c>
      <c r="E425" s="1">
        <v>4221</v>
      </c>
      <c r="F425" s="2">
        <v>311.91897654584227</v>
      </c>
      <c r="G425" s="1">
        <v>4309</v>
      </c>
      <c r="H425" s="2">
        <v>345.09863077280113</v>
      </c>
      <c r="I425" s="1">
        <v>5024</v>
      </c>
      <c r="J425" s="2">
        <v>376.10469745222929</v>
      </c>
    </row>
    <row r="426" spans="1:10" x14ac:dyDescent="0.2">
      <c r="A426" s="5" t="s">
        <v>854</v>
      </c>
      <c r="B426" s="5" t="s">
        <v>855</v>
      </c>
      <c r="C426" s="1">
        <v>111</v>
      </c>
      <c r="D426" s="2">
        <v>230.99099099099098</v>
      </c>
      <c r="E426" s="1">
        <v>127</v>
      </c>
      <c r="F426" s="2">
        <v>286.45669291338584</v>
      </c>
      <c r="G426" s="1">
        <v>120</v>
      </c>
      <c r="H426" s="2">
        <v>298.66666666666669</v>
      </c>
      <c r="I426" s="1">
        <v>113</v>
      </c>
      <c r="J426" s="2">
        <v>362.0353982300885</v>
      </c>
    </row>
    <row r="427" spans="1:10" x14ac:dyDescent="0.2">
      <c r="A427" s="5" t="s">
        <v>856</v>
      </c>
      <c r="B427" s="5" t="s">
        <v>857</v>
      </c>
      <c r="C427" s="1">
        <v>17</v>
      </c>
      <c r="D427" s="2">
        <v>145.29411764705881</v>
      </c>
      <c r="E427" s="1">
        <v>11</v>
      </c>
      <c r="F427" s="2">
        <v>143.63636363636365</v>
      </c>
      <c r="G427" s="1">
        <v>13</v>
      </c>
      <c r="H427" s="2">
        <v>157.69230769230768</v>
      </c>
      <c r="I427" s="1">
        <v>28</v>
      </c>
      <c r="J427" s="2">
        <v>121.07142857142858</v>
      </c>
    </row>
    <row r="428" spans="1:10" x14ac:dyDescent="0.2">
      <c r="A428" s="5" t="s">
        <v>858</v>
      </c>
      <c r="B428" s="5" t="s">
        <v>859</v>
      </c>
      <c r="C428" s="1">
        <v>592</v>
      </c>
      <c r="D428" s="2">
        <v>386.875</v>
      </c>
      <c r="E428" s="1">
        <v>643</v>
      </c>
      <c r="F428" s="2">
        <v>385.52099533437018</v>
      </c>
      <c r="G428" s="1">
        <v>635</v>
      </c>
      <c r="H428" s="2">
        <v>420</v>
      </c>
      <c r="I428" s="1">
        <v>642</v>
      </c>
      <c r="J428" s="2">
        <v>476.69781931464178</v>
      </c>
    </row>
    <row r="429" spans="1:10" x14ac:dyDescent="0.2">
      <c r="A429" s="5" t="s">
        <v>860</v>
      </c>
      <c r="B429" s="5" t="s">
        <v>861</v>
      </c>
      <c r="C429" s="1">
        <v>569</v>
      </c>
      <c r="D429" s="2">
        <v>325.95782073813706</v>
      </c>
      <c r="E429" s="1">
        <v>602</v>
      </c>
      <c r="F429" s="2">
        <v>341.81063122923587</v>
      </c>
      <c r="G429" s="1">
        <v>699</v>
      </c>
      <c r="H429" s="2">
        <v>377.6824034334764</v>
      </c>
      <c r="I429" s="1">
        <v>676</v>
      </c>
      <c r="J429" s="2">
        <v>431.18343195266272</v>
      </c>
    </row>
    <row r="430" spans="1:10" x14ac:dyDescent="0.2">
      <c r="A430" s="5" t="s">
        <v>862</v>
      </c>
      <c r="B430" s="5" t="s">
        <v>863</v>
      </c>
      <c r="C430" s="1">
        <v>6006</v>
      </c>
      <c r="D430" s="2">
        <v>253.65800865800864</v>
      </c>
      <c r="E430" s="1">
        <v>5907</v>
      </c>
      <c r="F430" s="2">
        <v>285.58659217877096</v>
      </c>
      <c r="G430" s="1">
        <v>5623</v>
      </c>
      <c r="H430" s="2">
        <v>318.07753868041971</v>
      </c>
      <c r="I430" s="1">
        <v>5344</v>
      </c>
      <c r="J430" s="2">
        <v>345.09356287425152</v>
      </c>
    </row>
    <row r="431" spans="1:10" x14ac:dyDescent="0.2">
      <c r="A431" s="5" t="s">
        <v>864</v>
      </c>
      <c r="B431" s="5" t="s">
        <v>865</v>
      </c>
      <c r="C431" s="1">
        <v>938</v>
      </c>
      <c r="D431" s="2">
        <v>253.5394456289979</v>
      </c>
      <c r="E431" s="1">
        <v>857</v>
      </c>
      <c r="F431" s="2">
        <v>294.24737456242713</v>
      </c>
      <c r="G431" s="1">
        <v>437</v>
      </c>
      <c r="H431" s="2">
        <v>377.16247139588097</v>
      </c>
      <c r="I431" s="1">
        <v>373</v>
      </c>
      <c r="J431" s="2">
        <v>432.43967828418232</v>
      </c>
    </row>
    <row r="432" spans="1:10" x14ac:dyDescent="0.2">
      <c r="A432" s="5" t="s">
        <v>866</v>
      </c>
      <c r="B432" s="5" t="s">
        <v>867</v>
      </c>
      <c r="C432" s="1">
        <v>2635</v>
      </c>
      <c r="D432" s="2">
        <v>266.1024667931689</v>
      </c>
      <c r="E432" s="1">
        <v>2612</v>
      </c>
      <c r="F432" s="2">
        <v>297.16309341500767</v>
      </c>
      <c r="G432" s="1">
        <v>2361</v>
      </c>
      <c r="H432" s="2">
        <v>328.14061838204151</v>
      </c>
      <c r="I432" s="1">
        <v>2569</v>
      </c>
      <c r="J432" s="2">
        <v>366.6056831451927</v>
      </c>
    </row>
    <row r="433" spans="1:10" x14ac:dyDescent="0.2">
      <c r="A433" s="5" t="s">
        <v>868</v>
      </c>
      <c r="B433" s="5" t="s">
        <v>869</v>
      </c>
      <c r="C433" s="1">
        <v>36</v>
      </c>
      <c r="D433" s="2">
        <v>500.55555555555554</v>
      </c>
      <c r="E433" s="1">
        <v>42</v>
      </c>
      <c r="F433" s="2">
        <v>552.14285714285711</v>
      </c>
      <c r="G433" s="1">
        <v>41</v>
      </c>
      <c r="H433" s="2">
        <v>611.21951219512209</v>
      </c>
      <c r="I433" s="1">
        <v>36</v>
      </c>
      <c r="J433" s="2">
        <v>623.33333333333337</v>
      </c>
    </row>
    <row r="434" spans="1:10" x14ac:dyDescent="0.2">
      <c r="A434" s="5" t="s">
        <v>870</v>
      </c>
      <c r="B434" s="5" t="s">
        <v>871</v>
      </c>
      <c r="C434" s="1">
        <v>25</v>
      </c>
      <c r="D434" s="2">
        <v>249.20000000000002</v>
      </c>
      <c r="E434" s="1">
        <v>11</v>
      </c>
      <c r="F434" s="2">
        <v>341.81818181818187</v>
      </c>
      <c r="G434" s="1">
        <v>4</v>
      </c>
      <c r="H434" s="2">
        <v>400</v>
      </c>
      <c r="I434" s="1">
        <v>4</v>
      </c>
      <c r="J434" s="2">
        <v>340</v>
      </c>
    </row>
    <row r="435" spans="1:10" x14ac:dyDescent="0.2">
      <c r="A435" s="5" t="s">
        <v>872</v>
      </c>
      <c r="B435" s="5" t="s">
        <v>873</v>
      </c>
      <c r="C435" s="1">
        <v>21169</v>
      </c>
      <c r="D435" s="2">
        <v>337.34659171429922</v>
      </c>
      <c r="E435" s="1">
        <v>21075</v>
      </c>
      <c r="F435" s="2">
        <v>375.02111506524324</v>
      </c>
      <c r="G435" s="1">
        <v>20818</v>
      </c>
      <c r="H435" s="2">
        <v>410.89009511000097</v>
      </c>
      <c r="I435" s="1">
        <v>19953</v>
      </c>
      <c r="J435" s="2">
        <v>458.26642610133814</v>
      </c>
    </row>
  </sheetData>
  <autoFilter ref="A2:J435" xr:uid="{00000000-0009-0000-0000-000000000000}">
    <sortState ref="A3:J435">
      <sortCondition ref="A2:A435"/>
    </sortState>
  </autoFilter>
  <mergeCells count="4">
    <mergeCell ref="C1:D1"/>
    <mergeCell ref="E1:F1"/>
    <mergeCell ref="G1:H1"/>
    <mergeCell ref="I1:J1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Pagal atskirą kodą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2018-04-22T14:09:43Z</dcterms:created>
  <dcterms:modified xsi:type="dcterms:W3CDTF">2018-04-22T14:10:23Z</dcterms:modified>
</cp:coreProperties>
</file>